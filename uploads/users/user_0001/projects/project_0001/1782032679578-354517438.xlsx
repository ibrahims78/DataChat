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Users\Dell\D\نيفين\"/>
    </mc:Choice>
  </mc:AlternateContent>
  <bookViews>
    <workbookView xWindow="-105" yWindow="-105" windowWidth="19410" windowHeight="11010"/>
  </bookViews>
  <sheets>
    <sheet name="القسم الهندسي" sheetId="1" r:id="rId1"/>
    <sheet name="مشفى الهلال" sheetId="3" r:id="rId2"/>
    <sheet name="مشفى الكلية" sheetId="5" r:id="rId3"/>
    <sheet name="مشفى العيون " sheetId="4" r:id="rId4"/>
    <sheet name="مشفى دمشق" sheetId="6" r:id="rId5"/>
    <sheet name="مشفى الجلدية" sheetId="7" r:id="rId6"/>
    <sheet name="ابن النفيس " sheetId="8" r:id="rId7"/>
    <sheet name="مشفى الزهراوي" sheetId="9" r:id="rId8"/>
    <sheet name="مراكز " sheetId="10" r:id="rId9"/>
    <sheet name="ورقة1" sheetId="2" r:id="rId10"/>
  </sheets>
  <externalReferences>
    <externalReference r:id="rId11"/>
  </externalReferences>
  <definedNames>
    <definedName name="OLE_LINK1" localSheetId="0">'القسم الهندسي'!$P$4</definedName>
  </definedNames>
  <calcPr calcId="152511"/>
</workbook>
</file>

<file path=xl/calcChain.xml><?xml version="1.0" encoding="utf-8"?>
<calcChain xmlns="http://schemas.openxmlformats.org/spreadsheetml/2006/main">
  <c r="M15" i="5" l="1"/>
  <c r="M12" i="5"/>
  <c r="J12" i="5"/>
  <c r="J14" i="5" s="1"/>
  <c r="R11" i="5"/>
  <c r="Q11" i="5"/>
  <c r="M11" i="5"/>
  <c r="M14" i="5" s="1"/>
  <c r="J11" i="5"/>
  <c r="S10" i="5"/>
  <c r="O10" i="5"/>
  <c r="M10" i="5"/>
  <c r="L10" i="5"/>
  <c r="L12" i="5" s="1"/>
  <c r="K10" i="5"/>
  <c r="K12" i="5" s="1"/>
  <c r="G10" i="5"/>
  <c r="S9" i="5"/>
  <c r="O9" i="5"/>
  <c r="M9" i="5"/>
  <c r="L9" i="5"/>
  <c r="K9" i="5"/>
  <c r="G9" i="5"/>
  <c r="I10" i="5" s="1"/>
  <c r="S8" i="5"/>
  <c r="O8" i="5"/>
  <c r="M8" i="5"/>
  <c r="J8" i="5"/>
  <c r="I8" i="5"/>
  <c r="G8" i="5"/>
  <c r="M7" i="5"/>
  <c r="J7" i="5"/>
  <c r="M6" i="5"/>
  <c r="J6" i="5"/>
  <c r="J5" i="5"/>
  <c r="S3" i="5"/>
  <c r="I9" i="5" l="1"/>
  <c r="J13" i="5"/>
  <c r="M13" i="5"/>
  <c r="A10" i="5"/>
  <c r="A8" i="5"/>
  <c r="A9" i="5"/>
  <c r="A7" i="5"/>
  <c r="A13" i="5"/>
  <c r="A6" i="5"/>
  <c r="A11" i="5"/>
  <c r="A14" i="5"/>
  <c r="A12" i="5"/>
  <c r="A5" i="5"/>
  <c r="A4" i="5"/>
</calcChain>
</file>

<file path=xl/sharedStrings.xml><?xml version="1.0" encoding="utf-8"?>
<sst xmlns="http://schemas.openxmlformats.org/spreadsheetml/2006/main" count="2710" uniqueCount="1080">
  <si>
    <t>مديرية الصحة</t>
  </si>
  <si>
    <t>المكتب الهندسي</t>
  </si>
  <si>
    <t>اسم الموظف</t>
  </si>
  <si>
    <t>الشهادة</t>
  </si>
  <si>
    <t>الجهة المكلف منها</t>
  </si>
  <si>
    <t>نوع الدوام</t>
  </si>
  <si>
    <t>مهامه الوظيفية</t>
  </si>
  <si>
    <t>على رأس عمله</t>
  </si>
  <si>
    <t>اسم الأب</t>
  </si>
  <si>
    <t>عام الميلاد</t>
  </si>
  <si>
    <t>الجامعة</t>
  </si>
  <si>
    <t>رئيس القسم الهندسي</t>
  </si>
  <si>
    <t>مثبت</t>
  </si>
  <si>
    <t>مثبت/عقد/مكلف من/مكلف إلى</t>
  </si>
  <si>
    <t>الجهة المكلف إليها</t>
  </si>
  <si>
    <t>اداري صباحي</t>
  </si>
  <si>
    <t>تقييم الفاعلية %
(نسبة مئوية تحدد مدى الفعالية والاعتماد عليه وعدم القدرة على الستغناء عنه)</t>
  </si>
  <si>
    <t>تقييم الالتزام بالدوام 
% كنسبة مئوية</t>
  </si>
  <si>
    <t>عام التوظيف</t>
  </si>
  <si>
    <t>الخبرات الفنية والهندسية</t>
  </si>
  <si>
    <t>تقييم الخبرات الهندسية والفنية
% (نسبة تحدد مستوى الخبرة)</t>
  </si>
  <si>
    <t>الأعمال المنفذة خلال الأشهر الأربعة السابقة</t>
  </si>
  <si>
    <t>ملاحظات رئيس القسم الهندسي</t>
  </si>
  <si>
    <t>الصفة الوظيفية الحالية</t>
  </si>
  <si>
    <t>مهند الباكير</t>
  </si>
  <si>
    <t>عبد الحميد مطيط</t>
  </si>
  <si>
    <t>ايمن السحار</t>
  </si>
  <si>
    <t>اسامة حوى</t>
  </si>
  <si>
    <t>هدى رسوق</t>
  </si>
  <si>
    <t>محمد طعمة</t>
  </si>
  <si>
    <t>نازك يسين</t>
  </si>
  <si>
    <t>سموئل كيوان</t>
  </si>
  <si>
    <t>موفق السواح</t>
  </si>
  <si>
    <t>نجوى الجادلي</t>
  </si>
  <si>
    <t>امل اشمر</t>
  </si>
  <si>
    <t>فرح طلاع</t>
  </si>
  <si>
    <t>ريما بجبوج</t>
  </si>
  <si>
    <t>هبة صندوق</t>
  </si>
  <si>
    <t>علي فرج</t>
  </si>
  <si>
    <t>حسين مرعي حسن</t>
  </si>
  <si>
    <t>اسامة الاحمد</t>
  </si>
  <si>
    <t>محمود السودي</t>
  </si>
  <si>
    <t>ساهر سلطان</t>
  </si>
  <si>
    <t>محمد منذر الجهماني</t>
  </si>
  <si>
    <t>علي الصباغ</t>
  </si>
  <si>
    <t>سراء علي</t>
  </si>
  <si>
    <t>جهاد ديوب</t>
  </si>
  <si>
    <t>إبراهيم احمد</t>
  </si>
  <si>
    <t>عيسى علي</t>
  </si>
  <si>
    <t>امنة هدية</t>
  </si>
  <si>
    <t>ديمة ضويحي</t>
  </si>
  <si>
    <t>دنيا علي</t>
  </si>
  <si>
    <t>نغم محمد</t>
  </si>
  <si>
    <t>رشا سعد</t>
  </si>
  <si>
    <t>فايز عاشور</t>
  </si>
  <si>
    <t>أسامة محمود</t>
  </si>
  <si>
    <t>ماريا الحنا</t>
  </si>
  <si>
    <t>دانا شهلة</t>
  </si>
  <si>
    <t>هدى الشريف</t>
  </si>
  <si>
    <t>منهل سلطان</t>
  </si>
  <si>
    <t>ريم زينه</t>
  </si>
  <si>
    <t>راغب شهيرة</t>
  </si>
  <si>
    <t>جومانة عيد</t>
  </si>
  <si>
    <t>نيفين احمد</t>
  </si>
  <si>
    <t>عائشة الطبخة</t>
  </si>
  <si>
    <t>احمد خطاب</t>
  </si>
  <si>
    <t>موسى حلاوي</t>
  </si>
  <si>
    <t>وجيه الأطرش</t>
  </si>
  <si>
    <t>إبراهيم الصيداوي</t>
  </si>
  <si>
    <t>أسامة السيد</t>
  </si>
  <si>
    <t>اكرم</t>
  </si>
  <si>
    <t>محمد خليل</t>
  </si>
  <si>
    <t>محمد مصباح</t>
  </si>
  <si>
    <t>محمد</t>
  </si>
  <si>
    <t>احمد</t>
  </si>
  <si>
    <t>كامل</t>
  </si>
  <si>
    <t>رفيق</t>
  </si>
  <si>
    <t>ديب</t>
  </si>
  <si>
    <t>عدنان</t>
  </si>
  <si>
    <t>سالم</t>
  </si>
  <si>
    <t>سلمان</t>
  </si>
  <si>
    <t>قاسم</t>
  </si>
  <si>
    <t>غياث</t>
  </si>
  <si>
    <t>علي</t>
  </si>
  <si>
    <t>فارس</t>
  </si>
  <si>
    <t>أمير</t>
  </si>
  <si>
    <t>غازي</t>
  </si>
  <si>
    <t>حسين</t>
  </si>
  <si>
    <t>عبد الرحمن</t>
  </si>
  <si>
    <t>عابد</t>
  </si>
  <si>
    <t>محمود</t>
  </si>
  <si>
    <t>يحيى</t>
  </si>
  <si>
    <t>نهاد</t>
  </si>
  <si>
    <t>مرتضى</t>
  </si>
  <si>
    <t>سيف الدين</t>
  </si>
  <si>
    <t>غسان</t>
  </si>
  <si>
    <t>هاشم</t>
  </si>
  <si>
    <t>عبد المعطي</t>
  </si>
  <si>
    <t>نعيم</t>
  </si>
  <si>
    <t>راجح</t>
  </si>
  <si>
    <t xml:space="preserve">عمر  </t>
  </si>
  <si>
    <t>حبيب</t>
  </si>
  <si>
    <t>عنتر</t>
  </si>
  <si>
    <t>إسماعيل</t>
  </si>
  <si>
    <t>شكري</t>
  </si>
  <si>
    <t>حمادو</t>
  </si>
  <si>
    <t>رفعت</t>
  </si>
  <si>
    <t>احسان</t>
  </si>
  <si>
    <t>محمد علي</t>
  </si>
  <si>
    <t>معهد متوسط هندسي -كهرباء</t>
  </si>
  <si>
    <t>معهد متوسط صحي - صيانة أجهزة طبية</t>
  </si>
  <si>
    <t>مهندس ميكانيك</t>
  </si>
  <si>
    <t>مهندس كهرباء/طاقة</t>
  </si>
  <si>
    <t>مهندس كهرباء/الكترون</t>
  </si>
  <si>
    <t>مهندس مدني</t>
  </si>
  <si>
    <t>مهندس طبية</t>
  </si>
  <si>
    <t>مهندس عمارة</t>
  </si>
  <si>
    <t>معهد متوسط هندسي - مدني</t>
  </si>
  <si>
    <t>علمي - كاتب</t>
  </si>
  <si>
    <t>مهني - كهربائي</t>
  </si>
  <si>
    <t>مهني - نجار</t>
  </si>
  <si>
    <t>مهني - دهان</t>
  </si>
  <si>
    <t>معهد متوسط مراقبين فنيين - مدني</t>
  </si>
  <si>
    <t>معهد متوسط صناعات تطبيقية - كهرباء صناعية</t>
  </si>
  <si>
    <t>ثانوية - ادبي</t>
  </si>
  <si>
    <t>مهندس تحكم الي وحواسيب</t>
  </si>
  <si>
    <t>مهندس اتصالات</t>
  </si>
  <si>
    <t>معهد متوسط هندسي - كهرباء</t>
  </si>
  <si>
    <t>مساعد فني تدفئة مركزية</t>
  </si>
  <si>
    <t>معهد متوسط للهندسة الكهربائية والميكانيكة</t>
  </si>
  <si>
    <t>إجازة في الاقتصاد</t>
  </si>
  <si>
    <t>ابتدائية - مستخدم</t>
  </si>
  <si>
    <t>معهد مهني فوق الإعدادية - نجار</t>
  </si>
  <si>
    <t>معهد متوسط للهندسة الكهربائية والميكانيكية - تجهيزات طبية</t>
  </si>
  <si>
    <t>معهد بعد الإعدادية 9 شهور - كهربائي</t>
  </si>
  <si>
    <t>مساعد مهندس كهرباء</t>
  </si>
  <si>
    <t>مساعد فني صيانة اجهزة طبية</t>
  </si>
  <si>
    <t>مهندس الكترون</t>
  </si>
  <si>
    <t>مهندس كهرباء</t>
  </si>
  <si>
    <t>مساعد مهندس مدني</t>
  </si>
  <si>
    <t>كاتب</t>
  </si>
  <si>
    <t>فني تمديدات</t>
  </si>
  <si>
    <t>نجار</t>
  </si>
  <si>
    <t>دهان</t>
  </si>
  <si>
    <t>مساعد مهندس صناعات تطبيقية</t>
  </si>
  <si>
    <t>كاتب رئيسي ذوي إعاقة</t>
  </si>
  <si>
    <t xml:space="preserve">مهندس كهرباء </t>
  </si>
  <si>
    <t>معهد متوسط كهرباء وميكانيك</t>
  </si>
  <si>
    <t>جامعي نظم معلومات</t>
  </si>
  <si>
    <t>مستخدم</t>
  </si>
  <si>
    <t>مساعد مهندس تجهيزات طبية</t>
  </si>
  <si>
    <t>كهربائي</t>
  </si>
  <si>
    <t/>
  </si>
  <si>
    <t>نقل من وزارة الزراعة</t>
  </si>
  <si>
    <t>نقل من وزارة البيئة</t>
  </si>
  <si>
    <t>مكلف من مشفى دمشق</t>
  </si>
  <si>
    <t>مكلف من مشفى القلب بدمر</t>
  </si>
  <si>
    <t>مكلف من صحة ادلب</t>
  </si>
  <si>
    <t>على راس عمله</t>
  </si>
  <si>
    <t>إجازة بلا اجر</t>
  </si>
  <si>
    <t xml:space="preserve">على راس عمله  </t>
  </si>
  <si>
    <t>صيانة واشراف ومتابعة ولجان</t>
  </si>
  <si>
    <t>ورشة القسم الهندسي</t>
  </si>
  <si>
    <t>تقدمت بطلب بلا راتب</t>
  </si>
  <si>
    <t>لجنة العقارات 
متابعة الأوكسجين السائل 
مهندس ميكانيك عن المنطقة الثانية 
رئيس مكتب الهندسي في مشفى الهلال لمدة ثلاثة أشهر</t>
  </si>
  <si>
    <t>-متابعة أعمال المكانيك والصحية والتدفئة في مركز المشورة 
-متابعة أعمال التدفئة والميكانيك في المعهد التقاني الصحي في دمشق
-زيارة ومتابعة أعمال التدفئة والميكانيك في مركز الشهيد زكريا العاص 
-مهمة جرد مستودعات الأدوية + مستودع المصادرات
 قرار رقم 4092 تاريخ 18/12/2025
-تقديم دراسة مصروف المازوت في مركز الشهيد زكريا العاص مع تقديم ملاحظات عند تشغيل الشوديرات لضمان حسن سير العمل 
- متابعة أعمال الميكانيك والتدفئة في مركز كفرسوسة القديم 
- متابعة أعمال التدفئة والميكانيك  في مركز الجلدية في دمر
- لجنة اعداد دفتر شروط صيانة وتشغيل المولدات
- لجنة اعداد دفتر شروط طفايات حريق لزوم مشفى الزهراوي 
- متابعة أعمال الميكانيك والتدفئة لدى مستشفى وبنك العيون الجراحي 
- زيارة ومتابعة أعمال الميكانيك في مستوصف القدم الصحي</t>
  </si>
  <si>
    <t>اداري</t>
  </si>
  <si>
    <t>ورشة صيانة</t>
  </si>
  <si>
    <t xml:space="preserve">القسم الهندسي </t>
  </si>
  <si>
    <t>مديرية صحة دمشق</t>
  </si>
  <si>
    <t xml:space="preserve">جدول بيانات الموظفين في القسم الهندسي في مديرية صحة دمشق </t>
  </si>
  <si>
    <t>دمشق</t>
  </si>
  <si>
    <t>حمص</t>
  </si>
  <si>
    <t>اللاذقية</t>
  </si>
  <si>
    <t xml:space="preserve">دمشق </t>
  </si>
  <si>
    <t>مشفى ابن النفيس</t>
  </si>
  <si>
    <t>صيانة مولدات</t>
  </si>
  <si>
    <t xml:space="preserve">صيانة تجهيزات طبية </t>
  </si>
  <si>
    <t>متابعة تجهيزات طبية</t>
  </si>
  <si>
    <t>تجهيزات ميكانيك</t>
  </si>
  <si>
    <t>تجهيزات كهربائية</t>
  </si>
  <si>
    <t xml:space="preserve">اعمال مدنية </t>
  </si>
  <si>
    <t xml:space="preserve">تجهيزات الكترونية </t>
  </si>
  <si>
    <t xml:space="preserve">تجهيزات كهربائية </t>
  </si>
  <si>
    <t>اعمال معمارية</t>
  </si>
  <si>
    <t xml:space="preserve">اعمال ميكانيكية </t>
  </si>
  <si>
    <t>امين مستودع</t>
  </si>
  <si>
    <t>اعمال كهربائية</t>
  </si>
  <si>
    <t>ورشات</t>
  </si>
  <si>
    <t xml:space="preserve">ورشات </t>
  </si>
  <si>
    <t>اعمال مولدات</t>
  </si>
  <si>
    <t xml:space="preserve">تجهيزات كهرباء </t>
  </si>
  <si>
    <t xml:space="preserve">تجهيزات طبية </t>
  </si>
  <si>
    <t>إدارية</t>
  </si>
  <si>
    <t>معمارية</t>
  </si>
  <si>
    <t>مدني</t>
  </si>
  <si>
    <t xml:space="preserve">كهرباء </t>
  </si>
  <si>
    <t>تجهيزات ميكانيكية</t>
  </si>
  <si>
    <t>مكتب هندسي مشفى الهلال 
الأحمر العربي السوري</t>
  </si>
  <si>
    <t>نور الهدى مرعي</t>
  </si>
  <si>
    <t>محمد نزار شريف</t>
  </si>
  <si>
    <t xml:space="preserve">إجازة في الهندسة الميكانيكية
 والكهربائية (قوى ميكانيكية) </t>
  </si>
  <si>
    <t>رئيسة القسم الهندسي
في مشفى الهلال الأحمر
 العربي السوري</t>
  </si>
  <si>
    <t>مثبت مكلف من</t>
  </si>
  <si>
    <t xml:space="preserve">مشفى دمشق لأمراض 
وجراحة القلب </t>
  </si>
  <si>
    <t>مشفى الهلال الأحمر
العربي السوري</t>
  </si>
  <si>
    <t xml:space="preserve"> صباحي</t>
  </si>
  <si>
    <t xml:space="preserve">إدارة القسم الهندسي في مشفى الهلال الأحمر
العربي السوري  
</t>
  </si>
  <si>
    <t xml:space="preserve"> وضع آلية للعمل تضمن تشغيل كافة التجهيزات الميكانيكية والكهربائية والطبية والبنى التحتية بالشكل الأمثل مع متابعة إجراء الصيانات اللازمة من قبل عناصر القسم والطلبات الخارجية ووضع الخطط الشهرية والسنوية والتنسيق مع شعبة التخطيط بشأن الأعمال المنجزة والخطة الاستثمارية مع تشكيل لجان لإعداد دفاتر شروط فنية
- وضع برنامج دوام للمناوبات والورشات وتوزيع العمل بين جميع عناصر القسم الهندسي
- نقل محطة الأوكسجين من مشفى الجلدية إلى مشفى الهلال الأحمر
- استلام الاسطوانات المستجرة مع فحص ضغطها والتأكد من نقاوتها ( رئيسة اللجنة ) </t>
  </si>
  <si>
    <t>صيانة ومتابعة التجهيزات الميكانيكية 
والكهربائية ( تكييف - تبريد - مصاعد - محطات تحلية - محطة أوكسجين )
الاشراف على عمل جميع المهندسين والفنيين</t>
  </si>
  <si>
    <t>محمد حجازي</t>
  </si>
  <si>
    <t>عبد الوهاب</t>
  </si>
  <si>
    <t>رئيس شعبة التجهيزات
 الميكانيكية</t>
  </si>
  <si>
    <t>مناوبات 48 ساعة</t>
  </si>
  <si>
    <t xml:space="preserve">صيانة ومتابعة التجهيزات الميكانيكية والطبية
 ومضخات وخزانات الماء ومحطة فلترة
 ماء الكلية الصناعية
إعداد دفاتر شروط فنية 
</t>
  </si>
  <si>
    <t>إصلاح جهاز تخطيط القلب في قسم الاسعاف عدد 2 // إصلاح النشافة في قسم الغسيل 
إصلاح جهاز الايكو في العناية // إصلاح شبكة الماء المفلتر للكلية الصناعية
متابعة أعمال الاصلاح الخارجي للتجهيزات // متابعة اسبوعية لتكييف العناية ويومية لمحطة
فلترة ماء الكلية الصناعية</t>
  </si>
  <si>
    <t>صيانة ومتابعة التجهيزات الميكانيكية والطبية والتمديدات الكهربائية 
صيانة محطة فلترة ماء الكلية الصناعية</t>
  </si>
  <si>
    <t>ميسون مهنا</t>
  </si>
  <si>
    <t>محروس</t>
  </si>
  <si>
    <t>معهد متوسط كهرباء</t>
  </si>
  <si>
    <t>رئيس دائرة الخدمات العامة 
فني صيانة كهرباء</t>
  </si>
  <si>
    <t>صباحي</t>
  </si>
  <si>
    <t>تسيير أعمال دائرة الخدمات العامة
الاشراف على أعمال التنضيف في المشفى
صيانة ومتابعة التجهيزات الكهربائية والups والمولدات</t>
  </si>
  <si>
    <t>متابعة أعمال دائرة الخدمات العامة 
متابعة أعمال التنضيف في المشفى وتنظيم الكشوف
متابعة صيانة التجهيزات الكهربائية ( المولدات - المصاعد لوحات الكهرباء - المقسم 
- خطوط الهاتف والups)</t>
  </si>
  <si>
    <t>صيانة ومتابعة التجهيزات الكهربائية</t>
  </si>
  <si>
    <t>مريم الخطيب</t>
  </si>
  <si>
    <t>حسن</t>
  </si>
  <si>
    <t>إجازة في الهندسة الطبية</t>
  </si>
  <si>
    <t>نائب رئيس القسم الهندسي
رئيس شعبة التجهيزات الطبية</t>
  </si>
  <si>
    <t xml:space="preserve">صيانة ومتابعة وجرد التجهيزات الطبية في العمليات والعناية والاسعاف وقسم الداخلية واالتنظير الهضمي وقسم العيادات
عضو في لجنة المناقصات
</t>
  </si>
  <si>
    <t>معايرة منفسة عدد /5/ +حساس الاوكسجين لجهاز التخدير بشكل دوري
لجنة خبرة فنية في مديرية الرقابة الداخلية في مديرية الصحة والهيئة المركزية للرقابة والتفتيش
معايرة جهاز الضغط الزئبقي في الاسعاف وتركيب جهاز تخطيط
ضبط اعدادات الطباعة لأجهزة الايكو في قسم العيادات
تنظيف منظار المعدة في قسم التنظير الهضمي</t>
  </si>
  <si>
    <t>صيانة ومتابعة التجهيزات الطبية</t>
  </si>
  <si>
    <t xml:space="preserve">الموظف يعمل في شركة خاصة بنفس المجال
</t>
  </si>
  <si>
    <t>محمد أمين السمال</t>
  </si>
  <si>
    <t>ناجي</t>
  </si>
  <si>
    <t>إجازة في هندسة الالكترون 
والاتصالات</t>
  </si>
  <si>
    <t>مهندس الكترون واتصالات</t>
  </si>
  <si>
    <t>صيانة ومتابعة التجهيزات الطبية في أقسام المشفى(العناية المشددة - العمليات - الأشعة - الاسعاف - المخبر الاسعافي والمركزي)
صيانة ومتابعة التجهيزات الكهربائية ( مولدات - ups - لوحات كهربائية )
إعداد دفاتر شروط فنية</t>
  </si>
  <si>
    <t>الاشراف على إصلاح آليات المشفى ( رئيس لجنة إصلاح الآليات )
إعداد بطاقات ساعات العمل والاستهلاك اليومي من مادة المازوت للمولدات بشكل شهري
إعداد دفتر الشروط الخاص بالخط المعفى من التقنين 
إصلاح الأعطال المتعلقة بالتجهيزات الكهربائية (قواطع - وحات كهربائية - مقابس-مراوح - إنارة )
إصلاح أجهزة المخابر ( جهاز الشوارد - جهاز الكيميا الآلي - البرادات )</t>
  </si>
  <si>
    <t>صيانة ومتابعة التجهيزات الكهربائية 
والطبية 
صيانة شبكة الهاتف</t>
  </si>
  <si>
    <t>يوسف حماد</t>
  </si>
  <si>
    <t>أحمد</t>
  </si>
  <si>
    <t>إجازة في الهندسة الميكانيكية
 والكهربائية ( تصميم وانتاج)</t>
  </si>
  <si>
    <t>صيانة ومتابعة محطة الغازات الطبية ومحطة الفاكيوم وشبكة الاوكسجين
صيانة ومتابعة أجهزة التعقيم المركزي
عضو في لجنة الكشف الفني على المواد
الداخلة إلى مستودع اللوازم
عضو في لجنة تحديد كميات استهلاك
الوقود في المولدات
لجان دراسة فنية - إعداد دفاتر شروط</t>
  </si>
  <si>
    <t>صيانة دورية لمحطة الغازات الطبية والفاكيوم وشبكة الغازات في جميع أقسام المشفى
استلام فني لمحطة أوكسجين جديدة
متابعة تجهيزات ميكانيكية</t>
  </si>
  <si>
    <t xml:space="preserve">متابعة تجهيزات طبية
صيانة أجهزة ميكانيكية </t>
  </si>
  <si>
    <t>بتول الأرملة</t>
  </si>
  <si>
    <t>خليل</t>
  </si>
  <si>
    <t>إجازة في الهندسة المعلوماتية</t>
  </si>
  <si>
    <t>مهندسة معلوماتية</t>
  </si>
  <si>
    <t>عضو في لجنة الشراء والاصلاح 
عضو في لجنة تلف الورقيات
مسؤولة عن أجهزة البصمة الخاصة بالمشفى
صيانة الشبكة والبرامج الخدمية وعضو في اللجنة الاعلامية
IT</t>
  </si>
  <si>
    <t>إعداد محاضر تلف الورقيات الخاصة بالمشفى 
نشر وتصميم البوستات الخاصة بالمشفى
تأمين احتياجات المشفى من صيانة الأجهزة وشراء المواد عن طريق لجنة الشراء والاصلاح</t>
  </si>
  <si>
    <t>متابعة وصيانة أعمال المعلوماتية</t>
  </si>
  <si>
    <t>ميساء ريحاوي</t>
  </si>
  <si>
    <t>محمد سمير</t>
  </si>
  <si>
    <t>مهندسة طبية</t>
  </si>
  <si>
    <t>صيانة ومتابعة الأجهزة الطبية في قسم 
غسيل الكلية والمخبر المركزي والاسعافي
 وقسم الأشعة
لجان دراسة فنية - إعداد دفاتر شروط</t>
  </si>
  <si>
    <t>الاشراف على صيانة أجهزة غسيل الكلية والأجهزة المخبرية
العمل على إعداد دفتر شروط لأجهزة التخدير وأجهزة التنظير العلوي والسفلي</t>
  </si>
  <si>
    <t xml:space="preserve">متابعة صيانة الأجهزة الطبية </t>
  </si>
  <si>
    <t>بشار خضور</t>
  </si>
  <si>
    <t>يونس</t>
  </si>
  <si>
    <t>معهد صناعات تطبيقية</t>
  </si>
  <si>
    <t>مساعد مهندس آليات</t>
  </si>
  <si>
    <t>صيانة ومتابعة التجهيزات الطبية والكهربائية
 والآلات المكتبية 
عضو في لجنة إصلاح الآليات
عضو في لجنة الكشف الفني على المواد 
الداخلة إلى مستودع اللوازم
لجان إعداد دراسة فنية - إعداد دفاتر شروط</t>
  </si>
  <si>
    <t>إصلاح الأسرة الكهربائية عدد 7 + إصلاح حواقن عدد 14+ سرير عدد 2 مع الحركات الميكانيكية
إصلاح الآليات الخاصة بمرآب المشفى في السوق المحلية
إصلاح كولر ماء عدد2+إصلاح طابعة عدد 3 +إصلاح جهاز الشوارد في المخبر + إصلاح جهاز غسيل الكلية + إصلاح كم ضغط عدد 2
تحديد خطوط النقل الداخلية والخارجية الخاصة بالمبيات</t>
  </si>
  <si>
    <t>صيانة التجهيزات الكهربائية والطبية 
والآلات المكتبية</t>
  </si>
  <si>
    <t>ناصر الحلبي</t>
  </si>
  <si>
    <t>أسعد</t>
  </si>
  <si>
    <t>معهد متوسط صحي</t>
  </si>
  <si>
    <t>مساعد فني تجهيزات طبية</t>
  </si>
  <si>
    <t>صيانة الاجهزة الطبية وتلبية اصلاح 
كافة الأعطال الطارئة خلال المناوبة لكافة تجهيزات المشفى</t>
  </si>
  <si>
    <t>صيانة جهاز الكلية الصناعية عدد1
إصلاحات طارئة في كل من الاقسام التالية ( الاسعاف - الأشعة - الكلية - العناية المشددة - العمليات
المصاعد - المخبر )</t>
  </si>
  <si>
    <t>صيانة التجهيزات الطبية</t>
  </si>
  <si>
    <t>عبد الغني زوكاني</t>
  </si>
  <si>
    <t xml:space="preserve">معهد متوسط صحي </t>
  </si>
  <si>
    <t xml:space="preserve">مشفى دمشق </t>
  </si>
  <si>
    <t xml:space="preserve">صيانة جهاز ايكو + 8 حواقن سيرنغ + جهاز تخطيط مندريه+مجهر المخبر الاسعافي+ منفسة </t>
  </si>
  <si>
    <t>صيانة التجهيزات الطبية 
خبرات معلوماتية سيرفرات + شبكات</t>
  </si>
  <si>
    <t>معمر الخطيب</t>
  </si>
  <si>
    <t>معهد متوسط هندسي</t>
  </si>
  <si>
    <t>مساعد فني مدني</t>
  </si>
  <si>
    <t>صيانة ومتابعة الأعمال المدنية</t>
  </si>
  <si>
    <t xml:space="preserve">إجراء أعمال تمديدات جديدة لحمامات عدد3 + حمامات سكن الاطباء الدائم 
تمديد خط جديد للتدفئة للمقسم 
تعزيل وتسليك الريكارات في القبو مع إصلاح حمامات القبو
متابعة يومية لأعمال التسريب الحاصلة في المشفى نتيجة تهالك البنية التحتية والعمل على إصلاحها
</t>
  </si>
  <si>
    <t>خبرة في تنفيذ الاعمال الصحية والاكساء</t>
  </si>
  <si>
    <t>فيليب زغيب</t>
  </si>
  <si>
    <t>ابراهيم</t>
  </si>
  <si>
    <t>مساعد فني ميكانيك وآليات</t>
  </si>
  <si>
    <t>صيانة ومتابعة كل من التجهيزات ( مولدات
لوحات كهربائية - ups - تيار ضعيف -
كاميرات مراقبة )</t>
  </si>
  <si>
    <t>تركيب أحهزة بصمة عدد4+كاميرات عدد4+DVR عدد1+تركيب انارة في عدة أقسام بالمشفى
متابعة دورية للمولدات (تعبئة مياه ووقود وقياس الاستهلاك اليومي للمازوت في المناوبة )</t>
  </si>
  <si>
    <t>صيانة ومتابعة الاجهزة الكهربائية</t>
  </si>
  <si>
    <t>ريما الجزاع</t>
  </si>
  <si>
    <t>جمعة</t>
  </si>
  <si>
    <t>معهد متوسط زراعي</t>
  </si>
  <si>
    <t>مساعد فني زراعة</t>
  </si>
  <si>
    <t>متابعة أعمال الزراعة والتقليم في المشفى
متابعة أعمال رش المبيدات الحشرية والتنسيق مع المحافظة للقضاء على الأوبئة الجائحة</t>
  </si>
  <si>
    <t xml:space="preserve">تقليم الأعشاب في حدائق المشفى
استقدام مبيدات قوارض ومبيدات حشرية من محافظة دمشق وتوزيعها على كافة أقسام المشفى
القيام بحملة مكافحة للحشرات والطفيليات وخصوصا آفة الجرب وذلك بمساعدة محافظة دمشق
رفع طلبات شراء للأدوات الزراعية لضرورة العمل
رفع طلبات شراء مبيدات للمشفى لاتتوفر لدى محافظة دمشق </t>
  </si>
  <si>
    <t>متابعة الأعمال الزراعية
مكافحة الحشرات والطفيليات المعندة
استخدام المبيدات التي تتوافق مع السلامة الصحية في المشافي</t>
  </si>
  <si>
    <t>محمد الملحان</t>
  </si>
  <si>
    <t>جمعه</t>
  </si>
  <si>
    <t>الاعدادية</t>
  </si>
  <si>
    <t>عامل مهني</t>
  </si>
  <si>
    <t xml:space="preserve">رئيس الورشات
متابعة دورية للمولدات و صيانة أعطال
 الكهرباء والصحية في كافة اقسام المستشفى ومتابعة منسوب خزانات المياه الرئيسية </t>
  </si>
  <si>
    <t>صيانة وإصلاح كافة الاعطال الكهربائية والصحية والحدادة والنجارة</t>
  </si>
  <si>
    <t>صيانة كافة التجهيزات الكهربائية
وخطوط الهاتف وشبكة الانترنت والحدادة والنجارة والتمديدات الصحية</t>
  </si>
  <si>
    <t>ابراهيم شامية</t>
  </si>
  <si>
    <t>شحاده</t>
  </si>
  <si>
    <t xml:space="preserve">متابعة دورية للمولدات و صيانة أعطال
 الكهرباء في كافة اقسام المستشفى ومتابعة 
منسوب خزانات المياه الرئيسية </t>
  </si>
  <si>
    <t>متابعة صيانة المولدات والاعطال الكهربائية</t>
  </si>
  <si>
    <t>صيانة الكهرباء وتمديدها</t>
  </si>
  <si>
    <t>غياث غنوم</t>
  </si>
  <si>
    <t>جابر</t>
  </si>
  <si>
    <t xml:space="preserve">عامل </t>
  </si>
  <si>
    <t>مكلف من</t>
  </si>
  <si>
    <t>مشفى دمشق</t>
  </si>
  <si>
    <t>عامل أوكسجين
عضو بلجنة استلام الاسطوانات المستجرة</t>
  </si>
  <si>
    <t>استلام اسطوانات الأوكسجين المستجرة وقياس ضغطها 
تركيب الاسطوانات بغرفة الأوكسجين بشكل دوري لتغذية العمليات والعناية المشددة وتزويد الشعب بالاسطوانات اللازمة ومراقبة عمل محطة الغازات الطبية والفاكيوم</t>
  </si>
  <si>
    <t>متابعة أعمال قسم الأوكسجين</t>
  </si>
  <si>
    <t>خالد محمد</t>
  </si>
  <si>
    <t>سفوك</t>
  </si>
  <si>
    <t>عامل</t>
  </si>
  <si>
    <t>حسين محسن</t>
  </si>
  <si>
    <t>أسامة نابلسي</t>
  </si>
  <si>
    <t>ماجد</t>
  </si>
  <si>
    <t>نور الهدى الحموي</t>
  </si>
  <si>
    <t>محمد بهاء الدين</t>
  </si>
  <si>
    <t>عامل في قسم المعلوماتية</t>
  </si>
  <si>
    <t>تمديد كابلات شبكة لأجهزة الكومبيوتر وأجهزة البصمة وشبكة الانترنت عند الحاجة</t>
  </si>
  <si>
    <t>متابعة أعمال قسم المعلوماتية</t>
  </si>
  <si>
    <t>مكتب هندسي مشفى الكلية  الجراحي</t>
  </si>
  <si>
    <t>مرح شيخ القصير</t>
  </si>
  <si>
    <t>عزو</t>
  </si>
  <si>
    <t>هندسة طبية</t>
  </si>
  <si>
    <t>إدارة المكتب الهندسي + دراسات تجهيزات طبية + لجان إعداد دفاتر شروط</t>
  </si>
  <si>
    <t>الاشراف على اصلاح جهاز التفتيت من خارج الجسم+ وضع دفتر شروط لأنابيب وابر الفيستولا لجلسات غسيل الكلية+ وضع دفاتر شروط لمحاليل حمضية لاجهزة غسيل الكلية+ الاشراف على اعمال ترميم قسم غسيل الكلية+ الاشراف على ترميم شعبة الاطفال + استلام فني ل10 أجهزة غسيل كلية + استلام جهازي تخطيط قلب + الاشراف على اصلاح محطة تحلية المياه</t>
  </si>
  <si>
    <t>الموظف يطلب النقل</t>
  </si>
  <si>
    <t>وفاء حاج محمد</t>
  </si>
  <si>
    <t>عوني</t>
  </si>
  <si>
    <t>مهندس صيانة تجهيزات طبية</t>
  </si>
  <si>
    <t xml:space="preserve">مكلف من </t>
  </si>
  <si>
    <t>مشفى دمشق لأمراض القلب</t>
  </si>
  <si>
    <t>مشفى الكلية الجراحي</t>
  </si>
  <si>
    <t>صيانة ومتابعة التجهيزات الطبية + دراسات تجهيزات طبية + لجان إعداد دفاتر شروط</t>
  </si>
  <si>
    <t xml:space="preserve">إعداد دفتر الشروط الفني الخاص بمادة بيكربونات الصويوم لاجهزة غسيل الغسيل+ العمل على اعداد دفاتر شروط خاصة باجهزة الايكو والتنفس الالي واجهزة تخطيط القلب+ عضو لجنة المبيعات في المشفى+ الاشراف على صيانة أجهزة العنايات والتعقيم في المشفى + استلام جهازي تخطيط قلب + الاشراف على اصلاح محطة الهواء الطبي </t>
  </si>
  <si>
    <t>متابعة و صيانة تجهيزات طبية عموماً</t>
  </si>
  <si>
    <t>بيان طفوري</t>
  </si>
  <si>
    <t>هندسة حواسيب وأتمتة</t>
  </si>
  <si>
    <t>مهندسة حواسيب ومعلوماتية</t>
  </si>
  <si>
    <t xml:space="preserve">IT+ صيانة ومتابعة الآلات المكتبية +صيانة ومتابعة كميرات المراقبة </t>
  </si>
  <si>
    <t>الاشراف على اصلاح كاميرات المراقبة في المشفى+ الاشراف على مشروع توصيل شبكة داخلية لنقل العمليات الجراحية بشكل مباشر إلى قاعة المحاضرات+ صيانة الطابعات والكمبيوترات في المشفى + عضو لجنة تنسيق المواد التالفة</t>
  </si>
  <si>
    <t>صيانة ومتابعة الآلات المكتبية +IT</t>
  </si>
  <si>
    <t>مازن عيدو</t>
  </si>
  <si>
    <t>هندسة ميكانيك ( اختصاص قوى ميكانيكية)</t>
  </si>
  <si>
    <t>صيانة ومتابعة تجهيزات التكييف والتبريد + صيانة ومتابعة التجهيزات الميكانيكية + صيانة ومتابعة المصاعد</t>
  </si>
  <si>
    <t xml:space="preserve">متابعة صيانة المولدات الكهربائية+ متابعة صيانة المصاعد + اعداد دفتر شروط للمصاعد+ الاشراف على محطة الاوكسجين الطبي+ رئيس لجنة الاشراف على باصات نقل الموظفين </t>
  </si>
  <si>
    <t>صيانة المصاعد</t>
  </si>
  <si>
    <t>مالك عقيل</t>
  </si>
  <si>
    <t xml:space="preserve">حسن </t>
  </si>
  <si>
    <t>معهد متوسط صناعي</t>
  </si>
  <si>
    <t>فني ميكانيك</t>
  </si>
  <si>
    <t>صيانة ومتابعة التجهيزات الكهربائية (مولدات - UPS- لوحات كهربائية)+صيانة ومتابعة تجهيزات التكييف والتبريد + صيانة ومتابعة التجهيزات الميكانيكية + صيانة ومتابعة المصاعد</t>
  </si>
  <si>
    <t xml:space="preserve"> صيانة المولدات الكهربائية + صيانة النشافات والغسالات الكهربائية+ متابعة وصيانات الحراقات في المشفى+ رئيس لجنة المحروقات + متابعة صيانة محطات تحلية المياه</t>
  </si>
  <si>
    <t>صيانة المولدات الكهربائية والحراقات والنشافات</t>
  </si>
  <si>
    <t>وائل السهلي</t>
  </si>
  <si>
    <t>متابعة وصيانة أجهزة غسيل الكلية في المشفى+ اعداد دفتر شروط مونيتور+ اعداد دفتر شروط المصاعد</t>
  </si>
  <si>
    <t>علي صالح</t>
  </si>
  <si>
    <t>اصلاح جهاز التعقيم في قسم زرع الكلية+ اصلاح جهاز الايكو في العيادة القلبية+ اصلاح مثفلة أنابيب في المخبر الاسعافي+ اصلاح مضختا حقن في العناية المشددة+عضو في لجنة التنسيق + اصلاح جهاز التنفس</t>
  </si>
  <si>
    <t>عصام فطوم</t>
  </si>
  <si>
    <t>اصلاح ماص مفرزات عدد /2/ في العمليت+ اصلاح جهاز تنفس الي+ اصلاح محطة المراقبة المركزية في العناية المشددة+ اصلاح مضختا حقن + عضو لجنة التلف</t>
  </si>
  <si>
    <t>علي المفرج</t>
  </si>
  <si>
    <t>عبد الله</t>
  </si>
  <si>
    <t>مديرية الصحة عام (2003)     مشفى الكلية عام (2012)</t>
  </si>
  <si>
    <t>شهادة مهنية كهرباء</t>
  </si>
  <si>
    <t>عامل كهرباء</t>
  </si>
  <si>
    <t>صيانة ومتابعة التجهيزات الكهربائية (مولدات - UPS- لوحات كهربائية) + صيانة كهرباء</t>
  </si>
  <si>
    <t xml:space="preserve">تركيب نيونات واجهزة انارة في كافة أقسام المشفى- صيانة ومتابعة كافة الاعمال الكهربائية+ صيانة وتركيب خطوط الهاتف+ تركيب وليف الستالايت+ </t>
  </si>
  <si>
    <t>متابعة وصيانة كافة الاعمال الكهربائية بالمشفى</t>
  </si>
  <si>
    <t>سمر جمعة</t>
  </si>
  <si>
    <t>هاني</t>
  </si>
  <si>
    <t xml:space="preserve">عامل مهني تكييف وتبريد </t>
  </si>
  <si>
    <t>عامل ميكانيك</t>
  </si>
  <si>
    <t>متابعة اعمال التكييف والتبريد</t>
  </si>
  <si>
    <t>متابعة صيانة الحراقات+ متابعة عمل محطات تحلية المياه + متابعة مضخات المياه+ العمل على تشغيل واطفاء وحدات التكييف المركزي في المشفى</t>
  </si>
  <si>
    <t>متابعة اعمال التكييف</t>
  </si>
  <si>
    <t>باسل صطيفي</t>
  </si>
  <si>
    <t>يوسف</t>
  </si>
  <si>
    <t>شهادة مهنية صحية</t>
  </si>
  <si>
    <t>عامل صحية</t>
  </si>
  <si>
    <t>متابعة أعمال الصحية</t>
  </si>
  <si>
    <t>متابعة صيانة الصحية + صيانة المصاعد + نقل اجهزة الغسيل</t>
  </si>
  <si>
    <t>اعمال الصحية</t>
  </si>
  <si>
    <t>بشار حمال</t>
  </si>
  <si>
    <t>أمي</t>
  </si>
  <si>
    <t>متابعة أعمال النجارة والصحية</t>
  </si>
  <si>
    <t>اصلاح طاولات مكتبية + تسليك صرف صحي</t>
  </si>
  <si>
    <t>اعمال النجارة</t>
  </si>
  <si>
    <t>علي سليمان</t>
  </si>
  <si>
    <t>شهادة ثانوية</t>
  </si>
  <si>
    <t>كاتب رئيسي</t>
  </si>
  <si>
    <t>عقد</t>
  </si>
  <si>
    <t xml:space="preserve"> متابعة عمل محطات تحلية المياه + متابعة مضخات المياه+ العمل على تشغيل واطفاء وحدات التكييف المركزي في المشفى</t>
  </si>
  <si>
    <t>المكتب الهندسي في مستشفى وبنك العيون الجراحي بدمشق</t>
  </si>
  <si>
    <t>عبدالملك دوغوظ</t>
  </si>
  <si>
    <t>رئيس شعبة الأجهزة الطبية</t>
  </si>
  <si>
    <t xml:space="preserve">صيانة ومتابعة الأجهزة التخصصية والعامة 
في أقسام المشفى </t>
  </si>
  <si>
    <t xml:space="preserve">إصلاح أجهزة تعقيم كاسيت عدد /2/ 
صيانة دورية لأجهزة السليت لامب والأجهزة المخبرية وأجهزة العمليات
اعداد دفاتر المواصفات الفنية لأجهزة مجهر جراحة اذنية ووحدة أذنية لمشفى ابن النفيس 
واعداد دفتر المواصفات الفنية لأجهزة قياس ضغط العين 
</t>
  </si>
  <si>
    <t>صيانة  الأجهزة العينية والمواصفات الفنية 
لكافة الأجهزة العينية</t>
  </si>
  <si>
    <t xml:space="preserve">ذو خبرة جيدة في العمل الهندسي
والمتابعة للأجهزة أقسام المشفى </t>
  </si>
  <si>
    <t xml:space="preserve">هبة جباوي </t>
  </si>
  <si>
    <t>هندسة مدنية</t>
  </si>
  <si>
    <t xml:space="preserve">رئيسة شعبة الأبنية </t>
  </si>
  <si>
    <t xml:space="preserve">مثبت </t>
  </si>
  <si>
    <t xml:space="preserve">متابعة الحالة الفنية والهندسية للأبنية ا
اعداد دفاتر الشروط الفنية للمشاريع الانشائية </t>
  </si>
  <si>
    <t>اعداد دراسة فنية لمشروع ترميم قبو البناء الاداري
اعداد الدراسة اللازمة لتأهيل جدران وممرات المخبر</t>
  </si>
  <si>
    <t>اعداد الدراسات الهندسية الانشائية 
للمشاريع الجديدة أو مشاريع الترميم</t>
  </si>
  <si>
    <t>هشام شبرق</t>
  </si>
  <si>
    <t>زهر</t>
  </si>
  <si>
    <t>معهد صحي - تجهيزات طبية</t>
  </si>
  <si>
    <t>فني صيانة تجهيزات طبية</t>
  </si>
  <si>
    <t xml:space="preserve">صيانة ومتابعة الأجهزة التخصصية والعامة 
في أقسام المشفى 
متابعة عمل محطتي الهواد والفاكيوم واسطوانات الاوكسجين </t>
  </si>
  <si>
    <t xml:space="preserve">اصلاح أجهزة تعقيم كاسيت عدد /2/
متابعة اصلاح وتشغيل محطة توليد الاوكسجين المشتركة لمجمع ابن النفيس </t>
  </si>
  <si>
    <t>ذو خبرة فنية جيدة في صيانة الأجهزة العينية ومتابعة للأعمال بشكل جيد</t>
  </si>
  <si>
    <t xml:space="preserve">  دمشق</t>
  </si>
  <si>
    <t xml:space="preserve">سلام البراقي </t>
  </si>
  <si>
    <t xml:space="preserve">مصطفى </t>
  </si>
  <si>
    <t xml:space="preserve">رئيس المكتب الهندسي </t>
  </si>
  <si>
    <t xml:space="preserve">صيانة ومتابعة التجهيزات الطبية
متابعة تشغيل المصاعد ومولدات الكهرباء والأجهزة في الاقسام الخدمية اوالمقسم والشبكة الداخلية للمشفى 
في قسم الغسيل والمطبخ ومرآب المشفى 
اجراء كافة المراسلات المتعلقة بتقديم خدمات جديدة اضافية للمشفى (مؤسسة الاتصالات لخدمة نت فايبر ...)
</t>
  </si>
  <si>
    <t>متابعة كافة الاقسام بكافة تجهيزاتها الطبية والخدمة
 ومنع تعطل أي قسم عن الخدمة 
اعداد الشروط الفنية لتجهيز العناية الاسعافية في مشفة ابن النفيس 
اعداد الشروط الفنية لجهاز المعالجة الفيزيائية بالامواج فوق الصوتية 
اعداد الشروط الفنية لجهاز المعالجة الفيزيائية بالتيارات الكهربائية
الاشراف على اعمال توسيع العناية المركزة في مشفى ابن النفيس 
تدوير الأجهزة الطبية التي لم تستخدم في مشفى العيون منذ فترات طويلة لاستلامها وتفعيلها ضمن مشفى ابن النفيس مثل جهاز مزيل الرجفان البطيني وجهاز ماص مفرزات اعداد قائمة الأجهزة الطبية المراد التعميم عليها لصالح مشافي ومراكز وزارة الصحة</t>
  </si>
  <si>
    <t xml:space="preserve">صيانة الأجهزة الطبية واعداد 
المواصفات الفنية اللازمة </t>
  </si>
  <si>
    <t xml:space="preserve">جيدة في متابعة الأعمال وتنسيق المهام 
في القسم الهندسي </t>
  </si>
  <si>
    <t>ناجي الطويل</t>
  </si>
  <si>
    <t>عارف</t>
  </si>
  <si>
    <t>معهد مهني</t>
  </si>
  <si>
    <t>عقد سنوي</t>
  </si>
  <si>
    <t>اصلاح الأعطال الصحية</t>
  </si>
  <si>
    <t>اصلاح الأعطال الصحية ضمن المرافق في المشفى</t>
  </si>
  <si>
    <t>اصلاحات ضمن غرف ومرافق المشفى</t>
  </si>
  <si>
    <t xml:space="preserve">لا يستطيع الالتزام بشكل اسبوعي كون 
سكنه في  محافظة القنيطرة </t>
  </si>
  <si>
    <t>مكتب هندسي مشفى دمشق الوطني</t>
  </si>
  <si>
    <t>بيان الحميّر</t>
  </si>
  <si>
    <t>أحمد جمال</t>
  </si>
  <si>
    <t>رئيسة شعبة الأجهزة الطبية</t>
  </si>
  <si>
    <t>*إدارة فريق المهندسيين والفنيين الطبييبن.
*توزيع المهام ومتابعة الأعمال الطبية.
*الإشراف على متابعة صيانة جميع الأجهزة الطبية.
*إعداد تقارير دورية للإدارة بالأعمال الطبية.
*توثيق أعمال المهندسيين والفنيين الطبيين.
*تحديد احتياجات المستشفى من الأجهزة الطبية
*متابعة إعداد سجلات دقيقة للأجهزة الطبية.</t>
  </si>
  <si>
    <t>*إعداد جرد شامل للأجهزة الطبية المستلمة ورقيًا من الفريق الطبي،  وفق النماذج المعتمدة من مديرية الصحة.
*متابعة عملية تنسيق الأجهزة الطبية القديمة والمتوقفة عن العمل في أقسام المشفى ومستودعاته.
*إعداد ورفع تقارير شهرية إلى الإدارة تتضمن أعمال ونشاطات فريق المهندسين والفنيين الطبيين.
*الإشراف وتوثيق الأعطال والإصلاحات الخاصة بالأجهزة الطبية بشكل دوري ومنهجي لضمان جاهزيتها وكفاءتها التشغيلية.
*إعداد دفترَي شروط (عدد 2) .
*الإشراف على عقد صيانة جهاز الحفارة الخاصة بالجراحة العصبية ومتابعة تنفيذ بنوده.</t>
  </si>
  <si>
    <t>.</t>
  </si>
  <si>
    <t>*خبرة عملية في إدارة دورة حياة الأجهزة الطبية (الاستلام، التشغيل، الصيانة، الإخراج من الخدمة)
*تطبيق أنظمة توثيق الأعطال والإصلاحات.
*تقييم الحالة الفنية للأجهزة واتخاذ قرارات الاستبدال أو الإصلاح.
*إعداد دفاتر الشروط الفنية والمواصفات للأجهزة والعقود.
*الإشراف على عقود الصيانة وضمان الالتزام بالمواصفات.
*إعداد تقارير دورية للإدارة تتضمن مؤشرات الأداء والإنجازات.
*متابعة وصيانة عمل الأجهزة الطبية في أقسام متعددة ( العمليات، …).</t>
  </si>
  <si>
    <t xml:space="preserve">مكتب هندسي مشفى دمشق </t>
  </si>
  <si>
    <t>احمد البادي</t>
  </si>
  <si>
    <t>مهندس اجهزة طبية</t>
  </si>
  <si>
    <t>مناوبات مسائي 32 ساعة( 16 + 16 ) بالاضافة ل 8 ساعات صباحي</t>
  </si>
  <si>
    <t>صيانة واصلاح الاجهزة الطبية و الالكترونية المتعطلة خلال المناوبة و الاجهزة التي تترك لي من الدوام الصباحي و اعداد دفاتر شروط و لجان دراسة فنية و لجان اشراف عللا العقود و متابعة دوام المناوبيين</t>
  </si>
  <si>
    <t>إصلاح 20 حاقن اصلاح 3 منافس الية و اصلاح سرير عناية عدد 2 و اصلاح اجهزة تخطيط قلب عدد 5 و اصلاح جعاو تعقيم جاف للعمليات و اصلاح سكاشن كهرباىية عدد 3 و اصلاح الطبقي و المرنان و اشعة بسيط من خلال التواصل بالهاتف مع الشركة الوكيلة و اصلاح قفل باب كهربائبي مع كاميرا لعناية العزل و اعداد دفتري شروط و تنفيذ قرار لجنة لبيان وضع 133 سرير و عربة نقل مرضى</t>
  </si>
  <si>
    <t xml:space="preserve"> %</t>
  </si>
  <si>
    <t>%</t>
  </si>
  <si>
    <t>صيانة تجهيزات العناية المشددة و التعقيم  المركزي و برمجة الميكروكونترولر و التجهيزات الطبية و الالكترونية عموما</t>
  </si>
  <si>
    <t>سناء المحمد</t>
  </si>
  <si>
    <t>صالح</t>
  </si>
  <si>
    <t>صيانة و اصلاح الأجهزة الطبية الخاصة بقسم الاأطفال و شعبة العظمية و شعبة الاذنية و اعداد دفاتر شروط و دراسات فنية و اشراف على عقود</t>
  </si>
  <si>
    <t>اصلاح حواضن عدد (7)اصلاح مونيتور (6) اصلاح منافس (4)اصلاح حواقن الية عدد(2) اصلاح منشار جبس (3) اصلاح سكشن نقال عدد(2)اصلاح جهاز تخطيط قلب عدد (2) ثبيت قواعد جديدة للمونيتورات الجديدة عدد(4)اعداد دفتر شروط عدد1</t>
  </si>
  <si>
    <t xml:space="preserve">صيانة و اصلاح الأجهزة الطبية الخاصة بقسم الاأطفال و شعبة العظمية و شعبة الاذنية وصيانة الايكو و اعداد دفاتر شروط و دراسات فنية و اشراف على عقود </t>
  </si>
  <si>
    <t>زكي  وادي</t>
  </si>
  <si>
    <t>خضر</t>
  </si>
  <si>
    <t>كانون التالني 2005</t>
  </si>
  <si>
    <t>معهد صحي صيانة تجهيزات طبية</t>
  </si>
  <si>
    <t>صيانة وإصلاح  التجهيزات اللطبية</t>
  </si>
  <si>
    <t>اصلاح كافة الأعطال التي تحدث خلال فترة المناوبة</t>
  </si>
  <si>
    <t>ثمان سنوات في تخديم أقسام العمليات وأربع سنوات في تخديم قسم ا|لأشعة والحواضن وبعدها اأقسام العنايات وشهادة تخصصية في صيانة المنافس من شركة ماكيت السويدية  وخبرة في الإسعافات الاولية ودعم الحياة</t>
  </si>
  <si>
    <t>روعه طالب</t>
  </si>
  <si>
    <t>2003 9نيسان</t>
  </si>
  <si>
    <t>هندسة ميكانيك عام</t>
  </si>
  <si>
    <t>مهندسة  تكييف</t>
  </si>
  <si>
    <t xml:space="preserve">الاشراف على عقود التكييف واعداد دفاتر الشروط الخاصة بالتكييف مركزي أو vrv   </t>
  </si>
  <si>
    <t>متابعة صيانة الطاقة الشمسية ومتابعة أمور التكييف</t>
  </si>
  <si>
    <t>خبرات ضمن مجال التكييف</t>
  </si>
  <si>
    <t>وجيها المنيني</t>
  </si>
  <si>
    <t>مصطفى</t>
  </si>
  <si>
    <t>مهندسة مدنية</t>
  </si>
  <si>
    <t>مهندسة مدنية تقوم بالدراسة و الاشراف على أعمال الاكساء و الترميم و الصحية و الانشاء .</t>
  </si>
  <si>
    <t>الاشراف و الاستلام لمشروع احداث وحدة تنظير هضمي المنفذ من قبل منظمة سامز في قسم الاسعاف القديم - متابعة مشروع ترميم قسم الاسعاف الجديد و مناقشة تحويل الصرف الصحي الى ريكار الحيواطية -  دراسة مشروع ترميم  المطبخ المركزي ( أعمال مدنية و صحية ) -دراسة مشروع احداث قسم لبنك الدم في مبنى السموم - دراسة و الاشراف على ترميم غرف العظمية الخاصة عدد /2/  - حساب مساحة الموقع العام - دراسة توزيع الديكسونات في مستودع الورشات مع رفع معماري -  استلام أولي لاعادة تأهيل الجسر المعدني -  اشراف واستلام اعمال سكن التمريض</t>
  </si>
  <si>
    <t>في مجال الدراسات : دراسة تأهيل قسم المخابر في العيادات الخارجية- ترميم سكن الممرضات.                             الإشراف: الاشراف على إكساء مشروع الاقسام الادارية ومشروع غسبل الكلية ومشروع دهان المشفى والاشراف على اعمال قسم الهضمية والاشراف على انشاء مستودع الصيدلية والاشراف على اعمال المطبخ المركزي واحداث الندوة والاشراف على تنفيذ مشروع الصرف الصحي خلف سكن التمريض والاشراف على توسعة قسم المعالجة الفيزيائية والاشراف على تنفيذ الساندويش بانل سطج المحاسبة - كما تتوفر خبرة بالعمل على برنامج الاتوكاد</t>
  </si>
  <si>
    <t>صفاء السعدي</t>
  </si>
  <si>
    <t>عيسى</t>
  </si>
  <si>
    <t xml:space="preserve">  03/04/1997</t>
  </si>
  <si>
    <t xml:space="preserve">مهندسة مدنية  </t>
  </si>
  <si>
    <t xml:space="preserve"> رئيسة شعبة الهندسة المدنية  و المعمارية و تشمل الأعمال المدنية و المعمارية و الصحية في المشقى (دراسات - اشراف -متابعة ) و الدراسات الانشائية و الترميمية المدنية و المعمارية</t>
  </si>
  <si>
    <t xml:space="preserve">الاشراف و الاستلام لمشروع احداث وحدة تنظير هضمي المنفذ من قبل منظمة سامز في قسم الاسعاف القديم - متابعة مشروع ترميم قسم الاسعاف الجديد و مناقشة تحويل الصرف الصحي الى ريكار الحيواطية - دراسة مشروع ترميم المطبخ المركزي ( أعمال مدنية و صحية ) - دراسة مشروع ترميم غرف المراقبة و الانعاش و العناية  الاسعافية و الصيدلية المناوبة - دراسة مشروع احداث قسم لبنك الدم في مبنى السموم - دراسة و الاشراف على ترميم غرف العظمية الخاصة عدد /2/ - متابعة تنفيذ الصبة البيتونية بجوار العيادات - متابعة و اشراف على تجديد قاعة الاجتماعات في شعبة الجراحة العظمية - حساب مساحة الموقع العام - دراسة توزيع الديكسونات في مستودع الورشات مع رفع معماري . </t>
  </si>
  <si>
    <r>
      <rPr>
        <b/>
        <sz val="13"/>
        <color theme="1"/>
        <rFont val="Arial"/>
        <family val="2"/>
      </rPr>
      <t>في مجال الدراسات</t>
    </r>
    <r>
      <rPr>
        <sz val="13"/>
        <color theme="1"/>
        <rFont val="Arial"/>
        <family val="2"/>
      </rPr>
      <t xml:space="preserve"> : مشروع تطوير و تحديث مشفى دمشق منها ( مشروع انشاء براد الجثث و انشاء جسر الوصل المعدني و مشروع بناء الكية في المشفى ) - مشرو ع دراسة مركز معالجة المدمنين و يشمل انشاءات معدنية و بيتونية - دراسة الفرش الطبي و الفندقي - دراسة مشرو ع ترميم سكن الأطباء - تدقبق دراسة اكساء قسم الاسعاف الجديد -حساب مساحات جميع أقسام المشفى - دراسة مشروع ترميم المطبخ المركزي -دراسة انشاء مستودعات ساندويش بانل - دراسة مشروع ترميم جسر الوصل المعدني للمرة الثانية و الدراسة في لجنة حساب التكلفة - ف</t>
    </r>
    <r>
      <rPr>
        <b/>
        <sz val="13"/>
        <color theme="1"/>
        <rFont val="Arial"/>
        <family val="2"/>
      </rPr>
      <t>ي مجال الاشراف</t>
    </r>
    <r>
      <rPr>
        <sz val="13"/>
        <color theme="1"/>
        <rFont val="Arial"/>
        <family val="2"/>
      </rPr>
      <t xml:space="preserve"> : الاشراف على مشروع اكساء وتجهيز العناية المركزة  و مشروع ترميم الشعبة الهضمية ومشروع ترميم وصيانة قسم العيادات والمخبر المركزي و الاشراف على مشروع تطوير و تحديث المطبخ المركزي و احداث ندوة والاشراف على تطوير وتحديث شعبة زرع الكلية وانشاء توسع للشعبة ومشروع الصرف الصحي خلف سكن التمريض والاشراف على مشروع ترميم سكن الممرضات واستلام مشروع اكساء قسم الاسعاف الجديد والاشراف على مشروع ترميم شعبة الحروق ومشروخ اجداث قسم التنظير الهضمي ودراسة و اشراف على أعمال الدهان .  كما تتوفر خبرة بالعمل على برنامج الاتوكاد</t>
    </r>
  </si>
  <si>
    <t xml:space="preserve">   مكتب هندسي مشفى دمشق </t>
  </si>
  <si>
    <t>بنانا شاهين</t>
  </si>
  <si>
    <t>اديب</t>
  </si>
  <si>
    <t>مهندسة مدني</t>
  </si>
  <si>
    <t>مكلف من مشفى دمشق لامراض وجراحة القلب</t>
  </si>
  <si>
    <t>مهندسة مدنية تقوم بالدراسة و الاشراف على أعمال الاكساء و الترميم المدنية والمعمارية و الصحية و الانشاء .</t>
  </si>
  <si>
    <t xml:space="preserve"> الاشراف والاستلام لمشروع ترميم سكن الأطباء المقيمين (أعمال مدنية وصحية)-    دراسة مشروع ترميم العناية القلبية مع  رفع معماري لها -ودراسة مشروع احداث قسم لبنك الدم في مبنى السموم ودراسة مشروع ترميم غرف المراقبة والانعاش والعناية الاسعافية  -ودراسة طلب فصل غرفة السلف عن مكتب القبول مع رفع الطلب-  ومتابعة واشراف على إحداث قاعة محاضرات في الشعبة العظمية- الاشراف على عزل سطح الاسعاف القديم بروبة مطاطية وتم رفع الطلب.</t>
  </si>
  <si>
    <t xml:space="preserve"> الاشراف على: الاشراف والاستلام لاعمال ترميم عناية العزل الاسعافية- ترميم غرف الاشعة في قسم العيادات- ترميم غرفة الاشعة في قسم الاسعاف القديم- الاشراف على ترميم سكن الاطباء. وفي مشفى القلب:  دراسة ترميم غرف الإقامة- ترميم حمامات وغرف سكن الأطباء- رفع معماري للموقع العام- حساب مساحات غرف القثطرة والعناية- ترميم المخبر- صيانة الريكارات والصرف الصحي-  متابعة اعمال صيانة قاعة المحاضرات والأسقف المستعارة للممرات، كما تتوفر خبرة بالعمل على برنامج الاتوكاد.</t>
  </si>
  <si>
    <t xml:space="preserve"> مكتب هندسي مشفى دمشق </t>
  </si>
  <si>
    <t>أحمد منصور</t>
  </si>
  <si>
    <t>صبري</t>
  </si>
  <si>
    <t xml:space="preserve"> ايلول 24  2000</t>
  </si>
  <si>
    <t>معهد متوسط همدسي اختصاص رسم وتصميم هندسي</t>
  </si>
  <si>
    <t xml:space="preserve">مساعد مهندس مدني </t>
  </si>
  <si>
    <t>استلام أولي لمشروع ترميم الجسر المعدني  ومتابعة تنفيذ الصبة البيتونية بجوار العيادات من قبل محافظة دمشق دراسة طلب فصل غرفة السلف عن مكتب القبول متابعة واشراف تجديد قاعة الاجتماعات في شعبة الجراحة العصبية دراسة توزيع رفوف ديكسون فس مستودع الورشات مع رفع معماري</t>
  </si>
  <si>
    <t xml:space="preserve">ترميم وتدعيم مبنى المرآب مع حساب كميات  اكساء الابينة البيتونية  في الكتلة الرئيسية وموقع العمل ترميم وندعيم مظلات المدخل الرئيسي لهيكل المعدني للمشفى منع دفتر مساحة الاشراف على تنفيذ خزانات اسالة معدنية مع حساب كميات الاشراف والمتابعة على تنفيذ مظلات معدنية في الموقع العام الدراسة والاشراف على تنفيذ صالة المعارض الرئيسية مع وحساب كميات دراسة واشارف على اعادة ترميم غرف الجراحة معحساب الكميات الاشراف وتجهعيز غرفة الطبقي المحوري مع حساب الكميات </t>
  </si>
  <si>
    <t xml:space="preserve">فاتن أبوعسلي </t>
  </si>
  <si>
    <t xml:space="preserve">أحمد </t>
  </si>
  <si>
    <t xml:space="preserve"> كانون الاول 2002</t>
  </si>
  <si>
    <t xml:space="preserve">هندسة طبية </t>
  </si>
  <si>
    <t xml:space="preserve">مهندس أجهزة طبية </t>
  </si>
  <si>
    <t xml:space="preserve">على رأس عمله </t>
  </si>
  <si>
    <t xml:space="preserve">اجازة بلا أجر واجراءات الاعادة للعمل </t>
  </si>
  <si>
    <t>منال مرتكوش</t>
  </si>
  <si>
    <t>بدر</t>
  </si>
  <si>
    <t>1999   تشرين الأول</t>
  </si>
  <si>
    <t>هندسة زراعية</t>
  </si>
  <si>
    <t>مهندسة زراعية</t>
  </si>
  <si>
    <t xml:space="preserve">صباحي </t>
  </si>
  <si>
    <t xml:space="preserve">الاشراف على الأعمال الزراعية والسقاية ورعاية الحدائق بما يتضمن تقليم تعشيب تشكيل نباتي سقاية تسميد مكافحة ترحيل  </t>
  </si>
  <si>
    <t>الاشراف على تقليم وتعشيب وتسميد والمكافحة النباتية في حدائق المشفى     رفع طلبات الشراء اللازمة لهذه الأعمال     الاشراف على |أعمال مكافحة نباتية وصحة عامة                                     اعداد دفاتر شروط نظافة برادي              عضو في لجنة النظافة والتعقيم</t>
  </si>
  <si>
    <t>خبرات في مجال الأعمال الزراعية والمكافحة والتعقيم وإعداد دفاتر الشروط</t>
  </si>
  <si>
    <t>إيناس معتوق</t>
  </si>
  <si>
    <t>رضوان</t>
  </si>
  <si>
    <t>مهندسة  أجهزة طبية</t>
  </si>
  <si>
    <t>سابقاً متابعة وصيانة واصلاح أجهزة الاشعة والمرنان والطبقي والايكو                              حالياً متابعة و صيانة و اصلاح الأجهزة الطبية الخاصة بالشعبة  العينية والعيادة العينية و شعبة الحروق و شعبة الجراحة العصبية وشعبة الاوعية    متابعة و صيانة و اصلاح محطات تحلية غسيل كلية كبار وصغار وعناية عامة           اعداد دفاتر شروط و دراسات فنية و اشراف على عقود     وجرد و  تقييم أجهزة طبية</t>
  </si>
  <si>
    <r>
      <t xml:space="preserve"> </t>
    </r>
    <r>
      <rPr>
        <sz val="11"/>
        <color theme="1"/>
        <rFont val="Arial"/>
        <family val="2"/>
      </rPr>
      <t xml:space="preserve">متابعة اصلاحات اجهزة الاشعة والايكو بالشهر الاول و حل لمشكلة عدم تلقي اوامر التحكم  dr  ge نقال اصلاح  جهاز تخطيط القلب في شعبة الجراحة العصبية                                                 اصلاح مشكلة بطء معالجة الصورة جهاز oct  في الشعبة العينية                                     الاشراف على اصلاح جهاز قياس أسواء الانكسار                                                       معالجة انخفاض منسوب خزان المياه الخام في محطة تحلية كبار                                               متابعة اصلاح ايكو العناية العامة                                                                       الاشراف على الصيانة  الدورية لجهاز قياس الكثافة العظمية                                                متابعة محاولات صيانة جهاز الطبوغرافيا في الشعبة العينية                                                    معايرة الحركات الميكانيكية للمصباح الشقي في العيادة العينية                                                الاشراف على تبديل فلاتر محطة تحلية كبار                                                              اصلاح جهاز اسقاط  القدرة البصرية  في العيادة العينية                                                 اصلاح مجهر عدد /2/  في العيادة العينية                                                                معايرة حساسات جهاز قياس الساحة البصرية في الشعبة العينية   و  اصلاح فلوميترات                        الاشراف على اصلاح تسريب مضخة الماء الخام في غسيل كلية صغار                                   اصلاح تسريب في المياه المعالجة محطة غسيل كلية كبار                                              الاشراف على اصلاح  جهاز تخطيط قلب في شعبة الأوعية                                            الاشراف على تبديل رؤوس محلية وصيانة المضخات في محطة تحلية كبار                               جرد و فحص تجهيزات في مستودع التنسيق لتحديد  حالتها الفنية                                              الاشراف على تجهيز وتهيئة محطة تحلية العناية العامة                                                           اعداد دفتر شروط صيانة طبقي 32 شريحة            اعداد دفتر شروط صيانة طبقي 64 شريحة           اعداد دفتر شروط صيانة جهاز القثطرة                 اعداد دفتر شروط لتأمين مجهر عمليات أذنية          اعداد دفتر شروط لتأمين مجهر عمليات عصبية      اعداد دفتر شروط لتأمين جهاز قثطرة                 اعداد دفتر شروط لتأمين جهاز بانوراما فكية           اعداد دفتر شروط لتأمين لباس العمال                   اتسلام نهائي لبنود عقد صيانة واصلاح وتأمين قطع لجهاز الليزر في شعبة الحروق                         استلام نهائي لبنود عقد تأمين فلاتر وصيانة محطة تحلية غسيل كلية كبار                                  استلام نهائي لبنود عقد صيانة أجهزة ايكو  - الاشراف على اصلاح جهاز تصوير الشبكية الظليل           </t>
    </r>
  </si>
  <si>
    <t xml:space="preserve">صيانة و اصلاح الأجهزة الطبية الخاصةبالشعبة والعيادة العينية و شعبة الحروق و شعبة الاوعية وشعبة الجراحة العصبية ومحطات التحلية  ومتابعة تجهيزات الاشعة                     اعداد دفاتر شروط و دراسات فنية و اشراف على عقود                   دورات في ادارة الازمات داخل وخارج المشافي وجودة الخدمات الصحية وأنظمة الجودة </t>
  </si>
  <si>
    <t>أمل سلمان</t>
  </si>
  <si>
    <t xml:space="preserve">  تشرين الثاني2018</t>
  </si>
  <si>
    <t>هندسة ميكانيك وكهرباء طاقات متجددة</t>
  </si>
  <si>
    <t>مهندسة ميكانيك</t>
  </si>
  <si>
    <t>الاشراف على صيانة واصلاح المصاعد               اعداد دفاتر شروط و دراسات فنية و اشراف على عقود</t>
  </si>
  <si>
    <t>اعداد دفاتر شروط عدد 3                      اصلاح مصاعد عدد3                         استلام نهائي لعقد استثمار ندوة</t>
  </si>
  <si>
    <t xml:space="preserve">خبرات ضمن مجال متابعة صيانة التكييف والمصاعد </t>
  </si>
  <si>
    <t>إيمان الكردي</t>
  </si>
  <si>
    <t>عاى رأس عمله</t>
  </si>
  <si>
    <t xml:space="preserve">حاليا متابعة كافة تجهيزات قسم الأشعة  والرنين والطبقي في المشفى                                      سابقا متابعة  افة تجهيزات قسم الأشعة  والرنين والطبقي في المشفى مع الايكو                          اعداد دفاتر شروط لصيانة وتأمين أجهزة طبية      تنفيذ لجان اشراف واستلام ودراسات فنية لأجهعزة طبية بالمشفى                                                         </t>
  </si>
  <si>
    <t>متابعة اصلاح جهاز الاشعة ايكو راي في العيادات والاسعاف                                             متابعة اصلاح جهاز الطبقي سيمنس 64 شريحة      متابعة اصلاح جهاز الطبقي الاسعافي ge       متابعة اصلاح أجهزة الأشعة النقالة               متابعة اصلاح جهاز الرنين المغناطيسي ge           متابعة اصلاح جهاز الاشعة البسيط ابليم في العيادات                                                متابعة اجراءات التحديث البرمجي لجهاز التصوير بالانطراح الرقمي                                    متابعة اصلاح جهاز القثطرة القلبية                       اعداد دفاتر شروط لصيانة جهاز التصوير بالانطراح الرقمي وصيانة أجهزة الاشعة وصيانة جهاز الرنين المغناطيسي وتأمين أجهزة ايكو عدد6              تنفيذ مهام لجنة التحقيق وابداء الرأي لعطل القارئ الشعاعي في العيادات                      الكشف على أجهزة منسقة وابداء الراي فيها</t>
  </si>
  <si>
    <t xml:space="preserve">دورة تدريبية خارجية على جهاز التصوير بالانطراح الرقمي                دورة تدريبية داخلية على أجهزة القثطرة دورة تدريبية على جهاز الطبقي 32 شريحة                                       دورة تدريبية على أجهزة الأشعة بشكل عام                                    </t>
  </si>
  <si>
    <t>وسيلة علوش</t>
  </si>
  <si>
    <t>فهد</t>
  </si>
  <si>
    <t>هندسة طاقة</t>
  </si>
  <si>
    <t>رئيس شعبة الكهرباء</t>
  </si>
  <si>
    <t>متابعة أعمال شعبة الكهرباء كصيانة وكعقود بما فيها من مولدات  ومصاعد وأجهزة ups مركزية ومنفصلة ومنظومة كاميرات المراقبة وألات التصوير</t>
  </si>
  <si>
    <t xml:space="preserve"> تغيير زيت وفلاتر لبعض المولدات اصلاح عدة DVR اصلاح بروجكترات واصلاح ألات تصوير العمل على دفاتر الشروط اصلاح بعض المصاعد</t>
  </si>
  <si>
    <t>خبرة عملية بصيانة الاجهزة الطبية       دورة تدريبية بالتيار الضعيف             خبرة عملية بال ups</t>
  </si>
  <si>
    <t>بدور عبد السلام</t>
  </si>
  <si>
    <t>راتب</t>
  </si>
  <si>
    <t xml:space="preserve"> أب 2016</t>
  </si>
  <si>
    <t>مهندسة أجهزة طبية</t>
  </si>
  <si>
    <t>صيانة و اصلاح الأجهزة الطبية الخاصة  بشعبة غسيل الكلية الكبار و  غسيل كلية أطفال  وجهاز تفتيت الحصيات في شعبة التفتيت                اعداد دفاتر شروط واستلام أولي للعقود</t>
  </si>
  <si>
    <t>متابعة صيانة واصلاح أجهزة غسيل الكلية عدد/5/   ماركة فريزينيوس وبي براون و غامبرو                اصلاح سرير غسيل كلية عدد/2/                        اصلاح ميزان غسيل كلية كبار                          متابعة اصيانة واصلاح محطة تحلية غسيل كلية أطفال خلال الشهر الأول                                 اصلاح لحامة ورق تعقيم  في  قسم التعقيم المركزي  اعداد دفتر شروط فني لتامين جهاز اختبار جهد قلبي عدد/1/ مع ملحقاته                                        استلام أولي لملف توليد طاقة لجهاز تفتيت الحصيات</t>
  </si>
  <si>
    <t>تم العمل بقسم شعبة الأطفال منذ حوالي 8 سنوات (صيانة واصلاح كافة التجهيزات الموجودة في القسم حواضن مونيترات أجهزة تنفس آلي حواقن سكاشن...)                                   تم العمل لمتابعة أجهزة قسم التعقيم المركزي لمدة ثلاث أشهر                 وحاليا صيانة واصلاح أجهزة غسيل الكلية</t>
  </si>
  <si>
    <t>هادي سلوم</t>
  </si>
  <si>
    <t>جمال</t>
  </si>
  <si>
    <t>ماجستير في الهندسة طبية</t>
  </si>
  <si>
    <t xml:space="preserve">صيانة ومتابعة التجهيزات الطبية في قسم الإسعاف وشعب الطابق الأرضي                       لجان إعداد دفاتر شروط                                      لجان دراسة فنية للتجهيزات                          لجان جرد ولجان اشراف واستلام أجهزة             تقييم الأجهزة الطبية </t>
  </si>
  <si>
    <t xml:space="preserve">اصلاح ومتابعة أبراج التنظير الهضمي والمناظير المركبة عليها                                              اصلاح وصيانة أجهزة تخطيط القلب                    اصلاح وصيانة أجهزة الفلوميتر والسكاشن الكهربائية والجدارية                                        اصلاح وصيانة الأسرة الكهربائية والعادية وعربات نقل المرضى                                      اصلاح وصيانة أجهزة المصباح الشقي والمناشير الكهربائية                                                   اصلاح وصيانة أجهزة الضغط الهوائي والزئبقي     اصلاح وصيانة أجهزة التعقيم الكهربائي الجاف       اصلاح وصيانة الأضوية الجانبية والرأسيات الأذنية  اصلاح ومتابعة  أجهزة الحواقن الآلية                  اصلاح  ومتابعة المونوتيرات واكسسواراتها            اصلاح اكسسوارات الأجهزة الطبية    </t>
  </si>
  <si>
    <t>اصلاح الاجهزة الخاصة بقسم الاسعاف وشعب الطابق الأرضي وصيانة التجهيزات الطبية عموما ومنها أجهزة تخطيط القلب وأجهزة السكشن الكهربائي والجداري  والأسرة الكهربائية والعادية والمونوتيرات وأجهزة الضغط وأجهزة التعقيم الجاف واكسسوارات الطبية ومتابعة عمل التجهيزات الطبية</t>
  </si>
  <si>
    <t>أديب سعد الدين نفاخ</t>
  </si>
  <si>
    <t>محمد زهير</t>
  </si>
  <si>
    <t>معهد متوسط للهندسة الطبية همك</t>
  </si>
  <si>
    <t>مساعد فني أول تجهيزات طبية</t>
  </si>
  <si>
    <t xml:space="preserve">صيانة أجهزة طبية ضمن العنايات عدد /7/      لجان إعداد دفاتر شروط                                      لجان دراسة فنية للتجهيزات                          لجان جرد ولجان اشراف واستلام أجهزة             تقييم الأجهزة الطبية </t>
  </si>
  <si>
    <t>اصلاح جهاز تنفس آلي عدد/8/  اصلاح مونيتور مراقبة عدد/11/ تركيب وتشغيل أجهزة تنفس آلي  جديدة  عدد/4/ جرد تجهيزات طبية تنسيق أجهزة طبية اصلاح مضخات فرشة هواء عدد/12/ اصلاح حاقن سرنغ آلي عدد/9/ اصلاح سرير عناية كهربائي عدد/3/ اصلاح ماص مفرزات كهربائي /سيكشن/ عدد/2/ اصلاحات بسيطة ومتكررة للأجهزة الطبية ضمن العنايات التي عددها /7/ عنايات كشف دوري على جاهزية الأجهزة ضمن العنايات   اعداد دفتر شروط لأجهزة مراقبة مركزية ضمن العنايات</t>
  </si>
  <si>
    <t xml:space="preserve">اصلاح الأجهزة ضمن أقسام العنايات </t>
  </si>
  <si>
    <t>بشار الحمد</t>
  </si>
  <si>
    <t>جاسم</t>
  </si>
  <si>
    <t>معهد زراعي</t>
  </si>
  <si>
    <t>مساعد فني أول تجهيزات طبية والكترونية</t>
  </si>
  <si>
    <t>صيانة واصلاح الاجهزة العينية في الشعبة والعيادة رئيس لجنة استلام المحروقات عضو لجنة تنسيق الأجهزةالطبية اشراف على حدائق المشفى وشبكات الري وخزانات المياه               لجان دراسة فنية واشراف على عقود                رئيس لجنة استلام المواد والتجهيزات والمستهلكات والأدوية والهبات</t>
  </si>
  <si>
    <t xml:space="preserve">   اصلاح مشكلة بطء معالجة الصورة جهاز oct  في الشعبة العينية                                     الاشراف على اصلاح جهاز قياس أسواء الانكسار                                                        متابعة محاولات صيانة جهاز الطبوغرافيا في الشعبة العينية                                        اصلاح جهاز اسقاط  القدرة البصرية  في العيادة العينية                                                 اصلاح مجهر عدد /2/  في العيادة العينية                                                                معايرة حساسات جهاز قياس الساحة البصرية في الشعبة العينية                            و  اصلاح فلوميترات                                                                              الاشراف على اصلاح  جهاز تخطيط قلب في شعبة الأوعية                                              جرد و فحص تجهيزات في مستودع التنسيق لتحديد  حالتها الفنية                                          الاشراف على اصلاح جهاز تصوير الشبكية الظليل</t>
  </si>
  <si>
    <t>صيانة واصلااح الاجهزة الطبية والالكترونية   في الشعب العينية والجراحة العصبية والحروق               اشراف على حدائق المشفى وصيانة شبكات الري</t>
  </si>
  <si>
    <t>ريم حوريه</t>
  </si>
  <si>
    <t>نادر</t>
  </si>
  <si>
    <t>صيانة الأجهزة الطبية كافة في أقسام العناية المشددة والتي عددها  7.                              إجراء الصيانة الدورية والوقائية للأجهزة الطبية والتأكد من جاهزيتها الفنية.                       تشغيل وتركيب الأجهزة الطبية الجديدة وإدخالها إلى الخدمة.                                           تنسيق وتنظيم الأجهزة الطبية وفق البروتوكول المعتمد .                                              تنفيذ جرد الأجهزة الطبية وتحديث سجلتها بشكل مستمر.                                              إعداد دفاتر شروط.                                تنظيم محاضر استلام أولي ونهائي للأجهزة.</t>
  </si>
  <si>
    <t xml:space="preserve">إصلاح جهاز تنفس الي عدد 8.                                                                            إصلاح جهاز مونبتور مراقبة حيوية عدد 13.                                                            إصلاح حاقن الي عدد 6.                                                                                  إصلاح مضخة فرشة هواء عدد5.                                                                        إصلاح سكشن كهربائي عدد 2.                                                                            تسليم دفتر شروط عدد1.                                                                                   تركيب وتشغيل جهاز تنفس الي جديد عدد4.                                                            إعداد محضر استلام نهائي عدد1.                                                                          الاصلاح داخلي وليس طلب خارجي بدون ورشة خارجية.         </t>
  </si>
  <si>
    <t>صيانة وتشغيل وتركيب ومتابعة أجهزة العناية المشددة بمختلف أقسامها .         جرد الأجهزة الطبية وفق البروتوكول المعتمد.                                      تنسيق التجهيزات الطبية  وفق البروتوكول المعتمد.                        صيانة وإصلاح وتشخيص للأعطال في العناية المشددة عدد7.                      توثيق بيانات الأجهزة وتحديثها باستمرار.إ                                عداد دفاتر شروط.                          تنظيم محاضر استلام .                    تركيب وتشغيل أجهزة جديدة ووضعها في الخدمة.</t>
  </si>
  <si>
    <t>حسام حمدان</t>
  </si>
  <si>
    <t>مهندس أجهزة طبية</t>
  </si>
  <si>
    <t>عللى رأس عمله</t>
  </si>
  <si>
    <t>دراسات تجهيزات طبية     صيانة واصلاح أجهزة طبية   اعداد دفاتر شروط   ا  لجان تنسيق الأجهزة   لجان جرد واستلام الأجهزة الطبية</t>
  </si>
  <si>
    <t>اصلاح جهاز تنفس آلي عدد/10/   اصلاح مونيتور مراقبة عدد/11/ تركيب منافس عدد/4/ جرد تجهيزات طبية   تنسيق أجهزة طبية  تركيب مونوتيرات جديدة اصلاح أجهزة تخدير ضمن قسم العمليات اصلاح ومتابعة أسرة العنايات</t>
  </si>
  <si>
    <t>أجهزة العنايات  أجهزة العمليات تجهيزات الاسعاف دراسات مواقع العيادات العنايات دراسة تكنولوجية  دورات خارجية في تجهيزات العناية والعمليات</t>
  </si>
  <si>
    <t>لينا قويضي</t>
  </si>
  <si>
    <t>عبد الحميد</t>
  </si>
  <si>
    <t>معهد متوسط هندسة ميكانيك وكهرباء</t>
  </si>
  <si>
    <t>حلب</t>
  </si>
  <si>
    <t>مساعدة مهندس ميكانيك وكهرباء</t>
  </si>
  <si>
    <t>مثبة</t>
  </si>
  <si>
    <t xml:space="preserve">على رأس عملها </t>
  </si>
  <si>
    <t>متابعة أعمال الصيانة لتجهيزات المطبخ وقسم التعقيم المركزي  وإعداد دفاتر شروط والإشراف على العقود</t>
  </si>
  <si>
    <t>اصلاح تجهيزات المطبخ عدد/5/ - اصلاح تجهيزات قسم التعقيم المركزي عدد/4/  -اعداد دفتر شروط عدد /2/ - جرد التجهيزات الميكانيكية في شعبة الميكانيك مع فتح فيش تكنيك في كل منها - صياغة طلبات الإصلاح والكتب الرسمية مع أرشفتها فيما يخص قسمي المطبخ والتعقيم المركزي وبعض المتفرقات الخاصة بمهام شعبة الميكانيك ومتابعة الأعمال الموكلة ضمن اقسام الشعبة - الإشراف على ضيانة تجهيزات وحدة التغذية ( المطبخ ) وقسم التعقيم المركزي مع رفع طلبات الإصلاح اللازمة - متابعة الأعمال الموكلة ضمن أقسام شعبة الميكانيك</t>
  </si>
  <si>
    <t>اعداد دفاتر الشروط والدراسات الفنية ولجان الاشراف  على المطبخ والتعقيم المركزي والتكييف ومتابعة والاشراف على عقود الصيانة لقسمي المطبخ والتعقيم المركزي والتكييف المركزي</t>
  </si>
  <si>
    <t>مكتب هندسي مشفى دمشق</t>
  </si>
  <si>
    <t>تغريد عبد الواحد</t>
  </si>
  <si>
    <t>عثمان</t>
  </si>
  <si>
    <t xml:space="preserve">اجازة في الهندسة الطبية </t>
  </si>
  <si>
    <t>صيانة و اصلاح الأجهزة الطبية الخاصة بقسم االعصبية الداخلية و شعبة الجراحة العامة  و اعداد دفاتر شروط و دراسات فنية و اشراف على عقود</t>
  </si>
  <si>
    <t xml:space="preserve">اجازة أمومة + ملحق أمومة </t>
  </si>
  <si>
    <t xml:space="preserve">صيانة و اصلاح الأجهزة الطبية الخاصة بقسم غسيل الكلية و قسم التفتيت و قسم التعقيم المركزي و قسم العيادات   و اعداد دفاتر شروط و دراسات فنية و اشراف على عقود </t>
  </si>
  <si>
    <t>عماد بكار</t>
  </si>
  <si>
    <t>إجازة في هندسة الإلكتون و الاتصالات</t>
  </si>
  <si>
    <t>مهندس شبكات وأنظمة مراقب</t>
  </si>
  <si>
    <t>مكلف</t>
  </si>
  <si>
    <t xml:space="preserve">مكلف من مشفى الهلال </t>
  </si>
  <si>
    <t>صيانة و إصلاح الشبكات الحاسوبية و أنظمة المراقبة المركزية وصيانة التجهيزات الحاسوبية</t>
  </si>
  <si>
    <t xml:space="preserve">صيانة أنظمة المراقبة و الأجهزة الحاسوبية و الشبكية بمشفى الهلال                                  تركيب أنظمة مراقبة جديدة عدد 2مع 5 كاميرات  صيانة سيرفر عدد 2                      تمديد شبكات حاسوبية جديدة و مقويات إشارة عدد 3                                                    صيانة الطابعات الليزرية  و صيانة أجهز الإنذار  صيانة UPS  من نوع PCE عدد 3    صيانة  UPS من نوع TRUE ONLINE عدد 2  تركيب POWER تغذية 12 فولت عدد2 لنظام المراقبة                                                                                          صيانة أجهزة حاسوبية عدد3  تبديل كرت شاشة +مرواح + هارد CCD                        مدير القسم الهندسي في مشفى الهلال                                                                   صيانة DVR  من نوع DAHWA  في مستودع اللوازم                                          صيانة DVR نوع هايك فيجين عدد2 في قسم الاسعاف و صيانة كاميرا مع جكات تغذية و إشارة عدد 6                                                                                             صيانة الإذاعة المركزية في قسم الاسعاف (مشفى الجتهد) </t>
  </si>
  <si>
    <t>نور الصفدي</t>
  </si>
  <si>
    <t xml:space="preserve">شكري </t>
  </si>
  <si>
    <t>إجازة في الهندسة الطبية  ماجستير تأهيلو تخصص في تطبيقات الليزر الطبية</t>
  </si>
  <si>
    <t xml:space="preserve">مهندسة  أجهزة طبية </t>
  </si>
  <si>
    <t>مكلفة</t>
  </si>
  <si>
    <t xml:space="preserve">مكلفة من مشفى الهلال </t>
  </si>
  <si>
    <t xml:space="preserve">صيانة و أصلاح التجهيزات الطبية اعداد دفاتر شروط دراسات فنية و الإشراف على العقود و لجان تنسيق و الجرد </t>
  </si>
  <si>
    <t xml:space="preserve">استلام أجهزة كلية عدد 5 نوع فريزينيوس ووضعها بالخدمة في قسم غسيل الكلية            اصلاح اجهزة الاشعة البسيطة عدد1 في قسم الاشعة                                                متابعة اصلاح وسوفتوير جهاز ايكو عدد1 في قسم الاشعة                                            صيانة  واصلاح  اجهزة  غسيل الكلية (معايرات و الموصلية ) عدد3                                 اصلاح مضخة السحب الدم في جهاز الكلية نوع ب براون عدد 1                                    اصلاح و متابعة عمل أجهزة التعقيم في قسم التعقيم المركزي                                   معايرة  منافس نوع نيوكودين عدد 2 و تنظيف حساس الاوكسجين مع صمام الشهيق         صيانة حساس جهاز الكميائي الالي في المخبر الاسعافي                                                 تفعيل جكة  بيبولر بجهاز كوتري في قسم العمليات                                                     استلام جهاز تخدير عدد1 نوع MINDRAY  و تركيب مونيتور من نفس النوع على جهاز التخدير السابق                                                                                                 تركيب جهاز قياس سرعة التثفل في المخبر المركزي صيانة و                                      متابعة محطة الهواء الطبي                                                                              متابعة تبديل فلاتر جهاز الكميائي الالي في المخبر الاسعافي و المركزي                        جرد الاسرة في المشفى و تحديد أعطالها                                                                 في مشفى دمشق                                                                                              تبديل كيت جهاز الشوارد في قسم العصبية                                                            جرد الأجهزة المخبرية المتوقفة عن العمل في المخبر المركزي و الاسعافي                            عداد بطاقات التسينق للاجهزة المخبرية المنسقة                                                 اعداد بطاقات تعريفية لصيانة الاجهزة المخبرية في المشفى </t>
  </si>
  <si>
    <t xml:space="preserve">خبرة في صيانة أجهزة غسيل الكلية      صيانة واصلاح المنافس صيانة و اصلاح اجهزة تخطيط القلب     خبرة في اعداد و تقديم رفاتر شروط   و الدراسات الفنية ااتجهيزات الطبية                                                                                                                                                                                                                   </t>
  </si>
  <si>
    <t xml:space="preserve">لينا هلال </t>
  </si>
  <si>
    <t xml:space="preserve">المعهد المتوسط للصناعات التطبيقية </t>
  </si>
  <si>
    <t>اعداد دفاتر شروط ومتابعة اصلاحات آلات التصوير ووحدات عدم انقطاع التيار الكهربائي ومنظومة كاميرات المراقبة ولجان عقود ودراسات فنية</t>
  </si>
  <si>
    <t>اصلاح آلات تصوير عدد/4/ وفاكسات عدد /1/ ووحدات عدم انقطاع التيار الكهربائي عدد/3/  متابعة ا|لأعطال الطارئة  ومتابعة تسجيلات كاميرات المراقبة</t>
  </si>
  <si>
    <t xml:space="preserve">اعداد دفاتر الشروط والدراسات الفنية ولجان الاشراف  على المصاعد        وفي مجال الكاميرات وآلات التصوير والفاكسات </t>
  </si>
  <si>
    <t>رشا محمد</t>
  </si>
  <si>
    <t>عصام</t>
  </si>
  <si>
    <t xml:space="preserve">معهد الهندسية الكهربائية والميكانيكية </t>
  </si>
  <si>
    <t>سهام مزهر</t>
  </si>
  <si>
    <t>سعيد</t>
  </si>
  <si>
    <t>مساعد مهندس طبي</t>
  </si>
  <si>
    <t>متابعة اصلاح وصيانة شعب الداخلية العصبية والجراحة الصدرية وشعب الجراحة العامة ومتابعة صيانة بشعب العمليات</t>
  </si>
  <si>
    <t xml:space="preserve">صيانة أجهزة  تخطيط قلب وتخطيط دماغ وتخطيط أعصاب  وأجهزة ضغط  وصيانة أجهزة بي باب وسيباب في الشعبة الصدرية واستلام نهائي بنود عقد أجهزة تنفس آلي والقيام بأعمال الجرد والتنسيق لشعب الطابق الثاني وشعب العمليات واستلام نهائي لبنود عقد صيانة أجهزة الايكو واستلام أولي لمواد مخبرية </t>
  </si>
  <si>
    <t>خبرة في صيانة أجهزة تخطيط القلب وتخطيط الدماغ والأعصاب وتجهيزات الشعبة الصدرية والعمليات وخبرة في اللجان والدراسات الفنية والعقود</t>
  </si>
  <si>
    <t>محمد العثمان التركاوي</t>
  </si>
  <si>
    <t>بسام</t>
  </si>
  <si>
    <t>معهد صحي تجهيزات طبية</t>
  </si>
  <si>
    <t>فني صيانة أجهزة طبية</t>
  </si>
  <si>
    <t>مناوبات مسائي 40 ساعة( الجمعة 24 ساعة+ثلاثاء 16 ساعة بالتناوب أسبوع بأسبوع  ) بالاضافة ل 8 ساعات صباحي</t>
  </si>
  <si>
    <t>صيانة الأجهزة الطبية خلال المناوبة ومتابعة صيانة الأجهزة التي تستدعي مجيء وكيلها أومهندس الشركة الخاص بها خلال فترة المناوبة</t>
  </si>
  <si>
    <t xml:space="preserve">اصلاح جهاز تخطيط للنساء  - معايرة جهاز غازات الدم بالعناية العامة -اصلاح منفستي هاملتون اصلاح جهاز تخطيط قلب في الاسعاف -اصلاح جهاز ضغط في الإسعاف  -متابعة اصلاح محدد الساحة لجهاز الاسعاف من قبل وكيل الشركة -متابعة تبديل 4 سكورة في محطة التحلية غسيل كلية كبار وشد وصلات وتلصيق من قبل المتعهد - اصلاح عطل توقف المرنان والطبقي عن العمل بعد فصل الكهربا عنهما واصلاح جهاز مخبري بمخبر الاسعاف- الاشراف على تركيب محطة تحلية غسيل كلية صغار- الاشراف على تركيب  السكاشن والفلوميترات في الاسعاف </t>
  </si>
  <si>
    <t>خبرة في صيانة الأسرة الكهربائية وأجهزة نفخ الفرشات الكهربائية وصيانة مونيترات المراقبة وحواقن السيرنغ والسكاشن والمنافس</t>
  </si>
  <si>
    <t>علي شعبان</t>
  </si>
  <si>
    <t>فؤاد</t>
  </si>
  <si>
    <t>شهادة ثانوية صناعية تكييف وتبريد</t>
  </si>
  <si>
    <t>مساعد فني تكييف وتبريد</t>
  </si>
  <si>
    <t>مناوب</t>
  </si>
  <si>
    <t xml:space="preserve">اصلاح ومتابعة وصيانة أجهزة التكييف السبليت والمركزي والVRV وغرف التبريد </t>
  </si>
  <si>
    <t xml:space="preserve">إعداد دفاتر الشروط الفنية والحقوقية لكل من أنظمة التكييف وهي السبليت والـ VRV وشيلرات التبريد مع مراقبة عمل هذه الأنظمة على مدار العام وخصوصا عند حدوث أي رفة كهربائية(انقطاع جزئي للتيار الكهربائي) لكل من أنظمة الشيلرات.  مع مراقبة عمل أجهزة التعقيم المركزي والعمل على أن تكون بجاهزية تامة خلال فترة المناوبة. </t>
  </si>
  <si>
    <t>خبرة في صيانة أجهزة التكييف والتبريد</t>
  </si>
  <si>
    <t>باسل الزعبي</t>
  </si>
  <si>
    <t>مناوبات مسائي 40 ساعة( السبت 24 ساعة+ثلاثاء 16 ساعة بالتناوب أسبوع بأسبوع  ) بالاضافة ل 8 ساعات صباحي</t>
  </si>
  <si>
    <t>صيانة ومتابعة أجهزة المخبر المركزي ومخبر الإسعاف-صيانة ومتابعة التجهيزات الطبية-لجان دراسة فنية - لجان اعداد دفاتر شروط</t>
  </si>
  <si>
    <t>إصلاح ثلاثة أجهزة مخبرية + إصلاح جهازين تخطيط قلب + إصلاح منفسة جهاز تنفس صناعي  -إعداد 3 دفاتر شروط فنية-دراسة 5 مناقصات -استلام فني 3 أجهزة -.صيانة دورية لعدة اجهزة في قسم الإسعاف</t>
  </si>
  <si>
    <t>صيانة تجهيزات المخابر-           صيانة تجهيزات طبية عموماً-            متابعة تجهيزات طبية</t>
  </si>
  <si>
    <t>عائشة عبد الهادي</t>
  </si>
  <si>
    <t>اجازة في الهندسة الكهربائية اختصاص الكترون</t>
  </si>
  <si>
    <t>مهندسة في صيانة الأجهزة الطبية</t>
  </si>
  <si>
    <t xml:space="preserve">الاشراف على أعمال الصيانة والاصلاح لكافة أجهزة الايكو الموجودة في المشفى بكافة أنواعها  واعداد دفاتر شروط فنية </t>
  </si>
  <si>
    <t>اصلاح وصيانة عامة لجهاز الايكو ماركة ميندراي مع بروبات عدد/2/-اصلاح وصيانة عامة لجهاز سونو سكيب مع بروبات عدد/2/-اصلاح جهاز ايكو وصيانة عامة ماي لاب اكس 6 مع البروب-اصلاح جهاز ايكو مع صيانة عامة ماركة البنون مع بروبات عدد/2/ جميعهم في الاسعاف-اصلاح جهاز توشيبا في العيادة الهضمية-اصلاح جهاز فيلبس في عيادة الكلية مع بروبات واصلاح الشاشة-اصلاح جهاز فيلبس في قسم الاشعة بورد معالجة الاشارة وفلاتر ..الخ- الكشف على مجموعة بروبات موجودة في مستودع التنسيق وتم اصلاح واحد منها ماركة ge ووضعه في الخدمة -اصلاح جهاز ايكو العناية القلبية ماركة ge مع البروب واصلاح وحدة عدم انقطاع التيار الخاصة به-اصلاح جهاز ايكو ماي لاب60 في الشعبة البولية-اصلاح جهاز ايكو الوكا في العيادة البولية- اصلاح جهاز فوكودا مع وحدة عدم انقطاع التيار في قسم الاطفال-اعداد دفاتر شروط عدد5</t>
  </si>
  <si>
    <t>خبرة في اعداد دفاتر الشروط الفنية الخاصة بتوريد وتركيب الأجهزة الجديدة القيام بالدراسات الفنية وتقديم العروض الاقتصادية واختيار أفضل العروض المقدمة والاستلام والاشراف على العقود لكافة تجهيزات المشفى الموردة           وخبرات عمل سابقة بصيانة أجهزة التنظير الهضمي المعدة وكولون وطرق صفراوية وضغوط المري وخبرات سابقة في مجال العمل بقسم العنايات وخبرة في مجال أجهزة تصحيح البصر بالليزر اكزايمر ليزر</t>
  </si>
  <si>
    <t>مكتي هندسي مشفى دمشق</t>
  </si>
  <si>
    <t>محسن زعبوب</t>
  </si>
  <si>
    <t>اسماعيل</t>
  </si>
  <si>
    <t>إجازة في الهندسة الميكانيكية , هندسة التصميم الميكانيكي والانتاج</t>
  </si>
  <si>
    <t>مدشق</t>
  </si>
  <si>
    <t>رئيس شعبة الميكانيك</t>
  </si>
  <si>
    <t>إدارة فريق المهندسيين والفنيين الميكانيكيين
توزيع المهام ومتابعة الأعمال الميكانيكية
لإشراف على متابعة صيانة جميع التجهيزات الميكانيكية
عداد تقارير دورية للإدارة بالأعمال الميكانيكية
توثيق أعمال المهندسيين والفنيين الميكانيكيين
تحديد احتياجات المستشفى من التجهيزات الميكانيكية
الاشراف على تعبئة مادة الأوكسجين السائل واسكوانات الاوكسجين واسطوانات غاز ثاني اوكسيد الكربون المستهلك في المشفى , متابعة واشراف على كافة الاصلاحات التي تتم على التجهيزات الميكانيكة في قسم الغسيل المركزي والمطبخ والتعقيم المركزي ووحدة الغازات الطبية , وأنظمة التكييف السبليت والـ VRV وشيلرات التبريد المركزية ,  مع متابعة عمل الشوديرات والاشراف على صيانتها.</t>
  </si>
  <si>
    <t xml:space="preserve">تعبئة مادة الاوكسجين السائل واسطوانات الاوكسجين واسطوانات غاز ثاني اوكسيد الكربون ,مع صيانة عدد كبير من المآخذ الطبية في أقسام وشعب المشفى وتركيب مجموعة من الماخذ الطبية في العمليات طابق أول والاشراف على تنظيف غريلات التكييف في بعض أقسام المشفى , فك مكيف من حضانة الاطفال استطاعة 4طن مع تركيب مكيف في غرفة سيرفرات الاشعة وفك مكيف من غرفة المتابعة ., تبديل مآخذ طبية في العناية العامة وصيانة الباقي ورفع طلبات الاصلاح اللازمة بالتجهيزات الميكانيكية في المطبخ والتعقيم ووحدة الغازات والغسيل  ,مع صيانة المآخذ الطبية في قسم الاسعاف الجديد , والاشراف على بدء صيانة وتركيب منظومة طاقة شمسية في بعض أقسام المشفى وتركيب حساسات الكترونية لقياس كمية المازوت في خزانات المشفى  </t>
  </si>
  <si>
    <t>شعبة المعلوماتية مشفى دمشق</t>
  </si>
  <si>
    <t>محمد الفلاح</t>
  </si>
  <si>
    <t>معهد هندسة حواسيب</t>
  </si>
  <si>
    <t>رئيس شعبة المعلوماتية</t>
  </si>
  <si>
    <t>1.الإشراف على النظام البرمجي (HIS) في إدارة البيانات و الدعم الفني للبرمجيات وتطوير وتحديث الصلاحيات واستخراج التقارير
2. الصيانة الفنية والدعم التقني (Hardware &amp; Software) في صيانة الحاسب وتنصيب أنظمة التشغيل (Windows) والبرامج المكتبية وحمايتها من الفيروسات والإشراف على أرشفة سجلات المرضى والأشعة والنتائج المخبرية لضمان سرعة استرجاعها
3. إدارة الشبكات والبنية التحتية في مراقبة الشبكة و توسيع الشبكة و إدارة السيرفرات
4.الربط الإلكتروني والخدمات الخارجية من حيث الاشراف على عمل الموقع الالكتروني والايميل للمشفى 
5. التدريب والتطوير تدريب الكوادر والاستشارات التقنية</t>
  </si>
  <si>
    <t xml:space="preserve">1. رفع سرعة الانترنت من 20 ميغا الى 300ميغا فايبر مع تركيب راوتر مايركوتيك ضوئي رئيسي
2. تم تركيب اكسس بوينت نقاط لنشر شبكة الانترنت واي فاي عدد 10 اهمها الاسعاف والمحاسبة والعيادات وغيرها
3. بالتنسيق مع مديرية التحول الرقمي تم تجهيز سيرفرات منظومة باكس وريس من الطرف السعودي وبدا العمل بالمنظومة بقسم الاسعاف وجاري نشرها على كامل المشفى
4. وكان الفرق واضح من الساعات الاولى لتطبيق الباكس الجديد حيث اثر وبشكل فاعل على سرعة ةتسهيل العمل في قسم الاسعاف وتخفيف العبئ والضغط وانتظار المرضى والمنظومة تعمل على الهاتف الجوال ومن أي مكان بالعالم
5. المشفى الافتراضي الرقمي جسر طبي بين وزارة الصحة السورية والسعودية
6. تصميم وبرمجة  الموقع الرسمي لمشفى دمشق والايميل مرآة وصورة المشفى امام العالم وعلى الشبكة العنكبوتية
7. اتمتة المطعم وتفعيل العمل ببطاقة الاطعام الالكترونية لتحسين ورفع سوية الاطعام ومنع الهدر
8. تفعيل وتجهيز وترتيب غرفة السيرفرات الرئيسية .
9. تشغيل وتفعيل خزن شبكة بناء المحاسبة والطابق الثالث والثاني بعد فصل دام سنة كاملة .
10. تحديث وتطوير كامل اجهزة الاقسام (العيادات – الاسعاف – الذاتية – القسم الهندسي)
11. تبديل المحابر الفارغة ضمن كافة اقسام وشعب المشفى
</t>
  </si>
  <si>
    <t>صيانة A+ قواعد بيانات oracl شبكات محترف NPA سيرفرات LINOX صيانة الأجهزة الزكية تصميم فوتوغراف فوتوشوب الستريتر ان ديزان محاسبة</t>
  </si>
  <si>
    <t>حلا محمود</t>
  </si>
  <si>
    <t>هندسة حاسبات وتحكم آلي</t>
  </si>
  <si>
    <t>مهندسة حاسبات وتحكم آلي</t>
  </si>
  <si>
    <t>مشفى دمشق لأمراض وجراحة القلب</t>
  </si>
  <si>
    <t>مناوبات</t>
  </si>
  <si>
    <t xml:space="preserve">المشاركة في :
1. رفع سرعة الانترنت من 20 ميغا الى 300ميغا فايبر مع تركيب راوتر مايركوتيك ضوئي رئيسي
2. تم تركيب اكسس بوينت نقاط لنشر شبكة الانترنت واي فاي عدد 10 اهمها الاسعاف والمحاسبة والعيادات وغيرها
3. بالتنسيق مع مديرية التحول الرقمي تم تجهيز سيرفرات منظومة باكس وريس من الطرف السعودي وبدا العمل بالمنظومة بقسم الاسعاف وجاري نشرها على كامل المشفى
4. وكان الفرق واضح من الساعات الاولى لتطبيق الباكس الجديد حيث اثر وبشكل فاعل على سرعة ةتسهيل العمل في قسم الاسعاف وتخفيف العبئ والضغط وانتظار المرضى والمنظومة تعمل على الهاتف الجوال ومن أي مكان بالعالم
5. المشفى الافتراضي الرقمي جسر طبي بين وزارة الصحة السورية والسعودية
6. تصميم وبرمجة  الموقع الرسمي لمشفى دمشق والايميل مرآة وصورة المشفى امام العالم وعلى الشبكة العنكبوتية
7. اتمتة المطعم وتفعيل العمل ببطاقة الاطعام الالكترونية لتحسين ورفع سوية الاطعام ومنع الهدر
8. تفعيل وتجهيز وترتيب غرفة السيرفرات الرئيسية .
9. تشغيل وتفعيل خزن شبكة بناء المحاسبة والطابق الثالث والثاني بعد فصل دام سنة كاملة .
10. تحديث وتطوير كامل اجهزة الاقسام (العيادات – الاسعاف – الذاتية – القسم الهندسي)
11. تبديل المحابر الفارغة ضمن كافة اقسام وشعب المشفى
</t>
  </si>
  <si>
    <t>هبة راعي</t>
  </si>
  <si>
    <t>خيرات</t>
  </si>
  <si>
    <t>مشفى الهلال الأحمر العربي السوري</t>
  </si>
  <si>
    <t>سامي ابراهيم</t>
  </si>
  <si>
    <t>معهد تقاني حاسوب</t>
  </si>
  <si>
    <t>فني صيانة تجهيزات حاسوبية</t>
  </si>
  <si>
    <t>ليال حسن</t>
  </si>
  <si>
    <t>معهد صناعات غذائية</t>
  </si>
  <si>
    <t>سكرتاريا</t>
  </si>
  <si>
    <t>صياغة وتنسيق الكتب الرسمية والمذكرات الداخلية الموجهة من رئيس الشعبة إلى الإدارة أو الأقسام الأخرى.
أرشفة المراسلات الصادرة والواردة (ورقياً وإلكترونياً) لسهولة الرجوع إليها عند الحاجة.
تنظيم جداول المناوبات الأسبوعية والشهرية لعناصر المعلوماتية (مهندسين، فنيين، مدخلي بيانات).
استقبال بلاغات الأعطال من أقسام المشفى المختلفة (عبر الهاتف أو النظام الداخلي).
تسجيل الأعطال وتصنيفها حسب الأولوية وتوزيعها على الفنيين المختصين.
متابعة إغلاق التذاكر التقنية والتأكد من أن القسم صاحب الطلب قد حصل على الخدمة المطلوبة.
متابعة طلبات القرطاسية والأحبار وقطع تبديل الحاسب من المستودعات.
تنظيم سجلات العهدة الخاصة بالأجهزة التي يتم سحبها للصيانة أو تسليمها للأقسام.
تنظيم مواعيد الاجتماعات الدورية لرئيس الشعبة مع الفريق أو مع شركات البرمجة المتعاقدة.
كتابة محاضر الاجتماعات ومتابعة تنفيذ التوصيات الإدارية المنبثقة عنها.</t>
  </si>
  <si>
    <t>متابعة طلبات الاصلاح مع تدوينها بالبريد عدد حوالي 60
متابعة وكتابة الكتب الصادر عددها حوالي 40
متابعة طلبات الطباعة الواردة الى الشعبة عددها 50
متابعة وتجهيز محاضر المشفى الافتراضي السعودي
متابعة الرد على الاتصالات والاعطال الواردة الى الشعبة 
متابعة دفتر لزوم ومستهلكات الشعبة
متابعة جدول ودفتر توقيع الدوام</t>
  </si>
  <si>
    <t>بهية الزغلول</t>
  </si>
  <si>
    <t>معهد ادارة اعمال</t>
  </si>
  <si>
    <t xml:space="preserve">متابعة وتنسيق وجرد ملف الطابعات كافة في جميع اقسام وشعب المشفى ومتابعة صيانتها </t>
  </si>
  <si>
    <t>علي شحادة</t>
  </si>
  <si>
    <t>نظمي</t>
  </si>
  <si>
    <t>تعليم اساسي</t>
  </si>
  <si>
    <t>عامل خدمة وصيانة</t>
  </si>
  <si>
    <t>صيانة الحواسب وتسليمها للاقسام المطلوبة المشاركة في اتمام المهام في الشبكة واجهزتها والبرمجيات المستخدمة</t>
  </si>
  <si>
    <t>ICDL                                   A+ صيانة الكترون محاسبة</t>
  </si>
  <si>
    <t>شق</t>
  </si>
  <si>
    <t>المكتب الهمدسي في مشفى        دمشق</t>
  </si>
  <si>
    <t>أمل ادلبي</t>
  </si>
  <si>
    <t xml:space="preserve">   محمود</t>
  </si>
  <si>
    <t xml:space="preserve">معهد هندسة الكهرباء والمكانيك ( قياسات وضبط جودة)                                          </t>
  </si>
  <si>
    <t>فني صيانة الأجهزة الطبية</t>
  </si>
  <si>
    <t xml:space="preserve">   صباحي</t>
  </si>
  <si>
    <t xml:space="preserve">   على رأس عمله</t>
  </si>
  <si>
    <t xml:space="preserve">    صيانة واصلاح الأجهزة الطبية الخاصة          بالعيادات الخارجية في المشفى والأجهزة الخاصة بقسم المعالجة الفيزيائية</t>
  </si>
  <si>
    <t xml:space="preserve">  - جهاز وظائف رئة عدد 1 
- منشار جبس عدد2
- ماص مفرزات عدد 2
- جهاز بخ أزوت سائل عدد 1
- جهاز تنبيه كهربائي
- جهاز أمواج قصار
        بالاضافة الى الصيانة الدورية لبعض الاجهزة ذات الاعطال المتكررة - سماعة جهاز تخطيط السمع
- تم رفع طلب إصلاح لغسيل الأذن 
للوحدة الاذنية  مع تبديل الخزان
 بسبب الصدأ بخزان كروم وتم الإصلاح
- عضو في القيام باستلام نخائي لصيانة وإصلاح 
 وتأمين قطع تبديلية لجهاز ليزر جلدية ضمن دفتر شروط
- عضو في إعداد دفتر شروط لإصلاح وتأمين
 بروبات منحنية وخطية خاصة بأجهزة الايكو الموجودة
 في بعض أقسام المشفى
- الكشف عن بعض الاجهزة المنسقة الموجودة في المستودع
 منذ زمن بعيد وابداء الرأي في مدى الاستفادة منها</t>
  </si>
  <si>
    <t xml:space="preserve">خبرة جيدة في صيانة(أجهزة التخطيط القلبية/ كرسي الخاص بالعيادات السنية/ماص المفرزات/ المعاوقة السمعية/أضوية الرأس)
- أجهزة المعالجة الفيزيائية
</t>
  </si>
  <si>
    <t xml:space="preserve">حصلت على إجازة في تقانة الاتصالات
وهي على رأس عملها 
وحاليا طالبة  ماجستير في الإدارة العامة
</t>
  </si>
  <si>
    <t>غيداء الصباغ</t>
  </si>
  <si>
    <t>عز الدين</t>
  </si>
  <si>
    <t>إجازة في الهندسة الطبية-دبلوم هندسة طبية</t>
  </si>
  <si>
    <t>مهندسة صيانة أجهزة طبية</t>
  </si>
  <si>
    <t xml:space="preserve">صيانة تجهيزات المخابر المركزي والإسعافي والتشريح المرضي وبنك الدم واعداد دفاتر الشروط الخاصة بهذه الأقسام والدراسات الفنية واستلام المواد المخبرية </t>
  </si>
  <si>
    <t>اعداد دفتر شروط لتأمين مواد مع جهاز غازات الدم لزوم العناية العصبية                            دراسة فنية لتأمين مواد شوارد المخبر المركزي                                                         استلام مواد شوارد لزوم مخبر الإسعاف                                                           اصلاح مثفلة عدد/3/ في المخبر المركزي                                                               -اصلاح مثفلة عدد/1/-واصلاح هزازة أكياس دم عدد/1/لزوم بنك الدم                                -اصلاح أوتوغلاف عدد/1/ والكشف على أوتوغلاف عدد/1/ وهو قيد الإصلاح لزوم المخبر الجرثومي                                                                                                     -اصلاح جهاز ادماج عدد/1/ في التشريح المرضي-                                                     -الكشف على جهاز عوامل تخثر الدم في المخبر الاسعافي                                             -الكشف على جهاز غازات الدم  وتشغيله في العناية العصبية                                         -جرد أقسام المخبر المركزي والإسعافي وبنك الدم والتشريح المرضي</t>
  </si>
  <si>
    <t xml:space="preserve">خبرة في إعداد دفاتر الشروط والدراسات الفنية المتعلقة بالتجهيزات والمواد المخبرية                                 خبرة في صيانة التجهيزات المخبرية  </t>
  </si>
  <si>
    <t>فايز درويش</t>
  </si>
  <si>
    <t>محمد رجب</t>
  </si>
  <si>
    <t>اعداد دفتر شروط لتأمين مواد دمويات خماسي  لزوم المخبر المركزي                         دراسة فنية لتأمين مواد أليزا لزوم المخبر المركزي                                                      دراسة فنية لتأمين مواد كيمياء آلي لزوم  مخبر الإسعاف                                                 استلام نهائي لتأمين مواد هرمونات  لزوم المخبر المركزي                                             اصلاح مثفلة عدد/3/ في المخبر المركزي                                                               -اصلاح مثفلة عدد/1/-واصلاح هزازة أكياس دم عدد/1/لزوم بنك الدم                                -اصلاح أوتوغلاف عدد/1/ والكشف على أوتوغلاف عدد/1/ وهو قيد الإصلاح لزوم المخبر الجرثومي                                                                                                     -اصلاح جهاز ادماج عدد/1/ في التشريح المرضي-                                                     -الكشف على جهاز عوامل تخثر الدم في المخبر الاسعافي                                             -الكشف على جهاز غازات الدم  وتشغيله في العناية العصبية                                         -جرد أقسام المخبر المركزي والإسعافي وبنك الدم والتشريح المرضي</t>
  </si>
  <si>
    <t>نوال الأحمد</t>
  </si>
  <si>
    <t>ثانوية صناعية اختصاص تجهيزات طبية</t>
  </si>
  <si>
    <t>فني أجهزة طبية</t>
  </si>
  <si>
    <t>صيانة ومتابعة أجهزة العمليات</t>
  </si>
  <si>
    <t>اصلاح عدسات تنظير عدد/5/   اصلاح طاولة عمليات عدد/2/   اصلاح أجهزة كتري عدد/3/ اصلاح صادم عدد/1/ اصلاح مونيتور عدد/2/  اصلاح ضوء عمليات عدد/1/ اصلاح جهاز تدفئة فرشة مريض عدد/1/ جرد أجهزة العمليات الكشف على أجهزة العمليات ورفع بطاقات تنسيق بالأجهزة المنسقة</t>
  </si>
  <si>
    <t>صيانة أجهزة العمليات</t>
  </si>
  <si>
    <t>ابراهيم المنصور</t>
  </si>
  <si>
    <t>معهد تقنيات الكترون</t>
  </si>
  <si>
    <t>مساعد مهندس طبية</t>
  </si>
  <si>
    <t>اصلاح اجهزة تخدير عدد/6/    اصلاح أجهزة كتري عدد/9/    اصلاح منبع ضوئي عدد/4/  اصلاح قوسي أشعة عدد/3/ اصلاح مونيتور عدد/3/ اصلاح طاولات عمليات عدد/4/ اصلاح جهاز صادم عدد/2/ اصلاح غمد تجريف بولية عدد/1/ اصلاح مجهر الجراحة العصبية عدد/1/ اصلاح مجهر أذنية عدد/1/ اصلاح ضوء عمليات جانبي عدد/1/ اصلاح ضوء عمليات رئيسي عدد/2/ اعداد دفاتر شروط عدد/3/  تصحيح قراءة مبخرات أجهزة التخدير عدد/5/ اصلاح حفارة للجراحة العصبية عدد/1/ اصلاح قبضة ليفاشور عدد/2/ اصلاح جهاز ليفاشور جراحة عامة عدد/2/ صيانة الأدوات الجراحية متنوعة</t>
  </si>
  <si>
    <t>صيانة كافة الأجهزة الطبية   أعداد دفاتر شروط بالاجهزة الطبية</t>
  </si>
  <si>
    <t>أحمد كنعان</t>
  </si>
  <si>
    <t>سليمان</t>
  </si>
  <si>
    <t>معهد اعداد مهني</t>
  </si>
  <si>
    <t>فني تكييف</t>
  </si>
  <si>
    <t>متابعة واصلاح وصيانة تكييف vrv والسبليت والشليرات والبرادات والكولرات والتوربينات -اعداد دفاتر شروط ودراسات فنية</t>
  </si>
  <si>
    <t>الكشف على مكيفات عدد/8/ بالمخابر-اصلاح مكيف في مخبر هرمونات ط3 -فحص توربينات عدد/2/ في العناية العامة-فحص براد عدد/1/ فيغرفة التخدير بالاسعاف- فك مكيفات العناية العامة عدد/2/ خزانة-تنظيف مكيفات غرفة ups الاسعاف ط1-فحص مكيفات غرفة ups الاسعاف القديم-تنظيف شوايات مدخل الهواء في العمليات ط1-الاشراف على تركيب مكيف في العيادة العينية -فحجص مكيفات صالة الاطعام عدد/5/-فحص مكيف غرفة upsشعبة الاطفال-الكشف على شبكة التدفئة واختبار دوران الماء فيه وتشغيل توربينات التدفئة-فك مكيف غرفة الجاهزية-فحص مكيفات عدد/2/ في قسم الوفيات-تنظيف فلاتر vrv في الادارة -فحص مكيف عيادة المفاصل-تنظيف مصارف مياه سطح الاسعاف بسبب فيضان الماء-اصلاح باب راد بردى-الكشف على حركة في وحدات المعالجة العناية الاسعافية -الكشف على مكيف السبليت في  مكتب غرفة ضبط العدوى ضمن شعبة المعلوماتية وفحص ترموستات vrvالموجود بنفس الغرفة-تنظيف كولرات العناية العامة-فحص براد شعبة القلبية ط4-فحص مكيف خزانة في العناية العصبية- فحص مكيفات غرفة upsط الارضي الاسعاف-الكشف على وحدة المعالجة g4 في سطح الاسعاف-تركيب شفرات المرلات في ط4 في العناية نصف المركزة-فحص مكيف غير مركب في المكتب الهندسي-الكشف على الشيلرات عدد/23/ وتحديد اعطالها بالمشفى-الكشف على حماصة في قسم التعقيم-الكشف على توربينات شعبة الحروق عدد/2/-اصلاحمكيف غرفة تحليل البول في المخبر-الكشف على مكيف في غرفة معتمد الرواتب-الكشف على مكيف في المكتب الهندسي غرفة المهندسات وفنيات طبية-اصلاح مكيف غرفة مهندسات الطبية والكهرباء-اصلاح مكيف خزانة غسيل الكلية-تشغيل vrv على الوضع البارد في شعبة الاطفال-اعداد دفاتر شروط تامين وتركيب قطع واصلاح وتشغيل اجهزة السبليت -اعداد دفاتر شروط تامين وتركيب قطع واصلاح وتشغيل اجهزة vrv-اصللاح كولر الفكية-غسيل فلاتر تكييف الفكية-صيانة مكيف الفكية-تحويل vrvفي شعبة الاطفال على الوضع البارد</t>
  </si>
  <si>
    <t>ي بالاسعاف-الكشف على وحدة المعالجة G4</t>
  </si>
  <si>
    <t>خبرة في اصلاح وصيانة المكيفات البرادات الكولرات التوربينات</t>
  </si>
  <si>
    <t>وسام ساعد</t>
  </si>
  <si>
    <t>سمير</t>
  </si>
  <si>
    <t>ثانوية صناعية</t>
  </si>
  <si>
    <t>مساعد فني في المكتب الهندسي</t>
  </si>
  <si>
    <t>سابقا معلوماتية ومن شهر في الورشات</t>
  </si>
  <si>
    <t>اصلاح اعطال في شبكة الاسعاف والباكس والانترنت -اصلاح طابعات عدد3/ فرمتة حواسب-تركيب سواقات -تنصيب برامج -تعريف طابعات-تبديل محابر-تفعيل عمل سويتشات-تركيب بورات عمل ايماج للبيانات-توصيل حواسب ربط أجهزة على شبكة المشفى-صيانة دورية للتجهيزات المكتبية بشكل عام</t>
  </si>
  <si>
    <t>خبرة في صيانة حواسب واجهزة الخليوي</t>
  </si>
  <si>
    <t>براء قدور</t>
  </si>
  <si>
    <t>محمد معتز</t>
  </si>
  <si>
    <t>معهد صناعي</t>
  </si>
  <si>
    <t>مساعد مهندس ميكانيك</t>
  </si>
  <si>
    <t>رئيس لجنة الكشف الفني للآليات في مشفى دمشق-اجراء الصيانة الدورية لمكيفات السبليت-والvrv- والشيلرات المركزية مع صيانة سيارات التابعة لنرآب المشفى</t>
  </si>
  <si>
    <t xml:space="preserve">تم الرد على كتاب الرقابة والتفتيش بخصوص السيارتين المعطلتين في المشفى 
فورد موديل 2004   وسيارة اوبل موديل 1994م 
[٢١/‏١ ١٢:٣٤ م] 
.تم الكشف على مكيف عيادة العينية وتبين وجود تسريب داخلي وهو بحاجة ضغط لكشف التسريب ولحامه وتعبئة غاز فريون
٣.تم الكشف على مكيف عيادة الظليل بالعينية وتبين بحاجة لأضافة غاز فريون 
٤.تم أصلاح مكيف الجراحة التجميلية 
٥.تم أصلاح مكيف عدد ٢ في التشريح المرضي وتنظيف الفلاتر ومعايرة درجة الحرارة بجهاز التحكم
تم اعادة تركيب غطاء مكيف اطباء مقيمين شعبة عظمية بسبب انفكاك الغطاء بالمكيف
تم هذا العمل بالتعاون مع الاستاذ علي شعبان
[٣/‏٢ ٥:١٩ م] 
تقرير مجدول بأعداد التوربينات وأعطالها مع الموديل بقسم الغسيل 
[٤/‏٢ ١:٠٦ م] براء: تم إجراء جولة على توربينات وتبين الأعطال التالية 
* التوربين رقم ( 1 ) 360v بحاجة قشاط عدد( 2 ) +رومانات نصف عمرها
* التوربين رقم ( ٢ )  220v بحاجة رومانات نصف عمرها
* التوربين رقم ( ٣ )  360v بحاجة رومانات نصف عمره بحاجة قشاط عدد ( 1 )
* التوربين رقم ( 4 )  220v جيد
* التوربين رقم ( 5 )  220v جيد
** التوربين رقم ( 6 )  لا يوجد محرك كهربائي
** التوربين رقم ( 7 )  360v بحاجة رومانات نصف عمره بحاجة قشاط عدد ( 1 )
** التوربين رقم ( 8 )  360v بحاجة رومانات نصف عمره بحاجة قشاط عدد ( 1 )   لايوجد قشاط بين المحرك والتوربين
** التوربين رقم ( 9 )  يعمل بحاجة تبديل قشاط عدد( 2 )
** التوربين رقم ( 10 )  360v  بحاجة قشاط عدد ( 1 ) لا يوجد قشاط بين المحرك والتوربين
** التوربين رقم ( 11 )  360v بحاجة قشاط عدد ( 2 )
* التوربين رقم ( 12 )  360v بحاجة رومانات + بحاجة قشاط عدد ( 2 )
** التوربين رقم ( 13 )  360v  بحاجة قشاط عدد ( 2 )
* التوربين رقم ( 14 )  ملغى
** التوربين رقم ( 15 )  360v بحاجة رومانات + بحاجة قشاط عدد ( 2 )
* التوربين رقم ( 16 ) 220 v  يعمل
** التوربين رقم ( 17 )   لم افحصه 
** التوربين رقم ( 18 )  360v بحاجة رومانات + بحاجة قشاط عدد ( 2 )
** التوربين رقم ( 19 )  360v بحاجة رومانات + بحاجة قشاط عدد ( 2 )
[٦/‏٢ ٩:٣٤ ص] براء: الشكوى ضاغط الغسيل لا يعمل
تم الكشف لا يعمل بسبب ارتخاء قشاط تم شد القشاط وإجراء العيار اللازم
[٤/‏٣ ٢:٥٦ م] المهندس محسن قسم هندسي الميكانيكا بالمشفى: وجاري العمل على تنظيف كافة الغريلاتالسقفية الخاصة بالتكييف والتهوية
[٤/‏٣ ٣:٠١ م] براء: العناية نصف قلبية
[٤/‏٣ ٣:٠٢ م] براء: تم التنظيف بشكل كامل
[٦/‏٣ ٣:٥٨ م] براء: أنا وزاهر تنظيف غرف العمليات ماعدا غرفة رقم 1
[١١/‏٣ ١٠:٣٧ ص] براء: تم إجراء الصيانة الدورية لمكيف صيدلية الاسعاف
[١١/‏٣ ١٢:٥٠ م] براء: تم إجراء الصيانة الدورية لمكيف عدد2 العناية العامة الطابق الثاني
[١٣/‏٣ ٢:٣٩ م] براء: قسم الغسيل ظاغط الهواء لا يضغط الهواء إلى الغسالة
تم الكشف وتنفيس الضغط وعاد الضط إلى طبيعته
[١٣/‏٣ ٢:٤١ م] براء: الرنين المغناطيسي المكيف لايعمل ويعطي رمز EF
تم قطع التيار الكهربائي عنه لمدة نصف ساعة للمراقبة وتم اعادة ضبط الحساس الخاص بالضغط بالقطعة الخارجية
[١٣/‏٣ ٢:٤٤ م] براء: قسم الأطفال + الحواضن تم إجراء الصيانة الدورية تنظيف فلاتر المكيفات سبليت  والكاسيت السقفي الخاص بالVRV لكل القسم ماعدى غرفة الأطباء والاخصائين ورئيس الشعبة الغرف مقفلة
[١٠/‏٤ ٦:٠٥ م] براء: جرد الشوديراتبناء الممرضات
عدد (1)  يعمل غير معروف
عدد (2) ماركة Buderus. _G305
. رقم التسلسلي/30001466/ 
رقم التسلسلي/30001471/
عدد(1)غير معروف لا يعمل
[١٠/‏٤ ٦:٠٦ م] براء: قسم غسيل الكلية
عدد (1)يعمل ماركة CHAppEE9722007953
[١٠/‏٤ ٦:١٦ م] براء: تحت براد الموتى
*عدد (3) ماركة. Dedietrich
(2)يعمل. (1)لا يعمل
*عدد(2) ماركةIVAR لا يعمل
[١٠/‏٤ ٦:١٨ م] براء: قسم الإسعاف الجديد في القبو
حراق ماركة CHAAPPEE عدد(4) 
 يعمل عدد (2)
[١٠/‏٤ ٦:٣٣ م] براء: تحت المكتب الهندسي
عدد(2)ماركة BiAsl
يعمل عدد/1/ 
رقم( N30180/00)
   لا يعمل عدد /1/
. رقم (N300164/00)
 عدد/1/ غير معروف لا يعمل
عدد(3) ماركة IDEL STANDR  جداد
رقم /  N9917227604/
رقَم  /N9917227603/
رقم /N9917227602/
[١٨/‏٤ ١١:٠٥ ص] براء: الشكوى من غرفة ups الرنين المغناطيسي يوجد تسريب ماء من المكيف
تم الكشف على المكيف وتم تنظيف مجاري الماء الداخلية
[١٨/‏٤ ١:١٢ م] براء: تم الكشف وتنظيف فلاتر الهواء  وحساس الهواء الداخلي
[٣٠/‏٤ ٢:٠٩ م] براء: تنظيف فلاتر وحدة السحب في العمليات الطابق  الأول والثاني
[٣٠/‏٤ ٢:١١ م] براء: تنظيف فتحات التهوية في الطابق الثالث عمليات رئيس لجنة الكشف الفني للأليات في مشفى دمشق
اجراء الصيانة الدورية لمكيفات السبليت وvrvوالشلرات المركزية 
مع صيانة السيارات التابعة لمراب المشفى نعم مناوبات  
</t>
  </si>
  <si>
    <t>خبرة في صيانة ميكانيك  السيارات وفحصها على الحاسب وخبرة في صيانة مكيفات السبليت والvrv</t>
  </si>
  <si>
    <t>علاء شاهين</t>
  </si>
  <si>
    <t>معهد صحي</t>
  </si>
  <si>
    <t>صيانة ومتابعة أعطال التجهيزات الطبية المسائية</t>
  </si>
  <si>
    <t>أعداد دفاتر شروط عدد/2/   اصلاح جهاز قوسي عدد/2/  اصلاح منشار عظمية عدد/1/  اصلاح حاضنة عدد/1/  اصلاح جهاز تنفس صناعي عدد/3/   اصلاح جهاز تخطيط عدد/2/  الاشراف على اصلاح جهاز الطبقي مساء"</t>
  </si>
  <si>
    <t>صيانة محطة غسيل الكلية  - صيانة أجهزة غسيل الكلية - أعداد دفاتر شروط</t>
  </si>
  <si>
    <t>عبد الرحمن عقلة</t>
  </si>
  <si>
    <t>عقلة</t>
  </si>
  <si>
    <t>اجازة في هندسة الالكترون والاتصالات</t>
  </si>
  <si>
    <t>متابعة كافة الأعمال في القسم الهندسي (طبية ميكانيك كهربا ورشات)</t>
  </si>
  <si>
    <t xml:space="preserve"> متابعة مشاريع البنية التحتية في مشفى دمشق(ترميم سكن الأطباء وسكن الطبيبات -ترميم الإسعاف-توسيع الهضمية)- التنسيق مع رئيسة الشعبة الطبية بجرد التجهيزات الطبية ولجنة الهبات-متابعة أعمال الميكانيك والكهرباء والورشات-متابعة أعمال المعلوماتية بخصوص الباكس والسيرفرات</t>
  </si>
  <si>
    <t>صيانة الأجهزة الطبية كافة وخبرة في الالكترونيات وإعداد دفاتر الشروط والدراسات الفنية</t>
  </si>
  <si>
    <t>مستشفى التخصصي للامراض الجلدية</t>
  </si>
  <si>
    <t>نورس اسماعيل</t>
  </si>
  <si>
    <t>بديع</t>
  </si>
  <si>
    <t>هندسة ميكانيك</t>
  </si>
  <si>
    <t xml:space="preserve">رئيس المكتب الهندسي 
+ مهندس الميكانيك في المنطقة الصحية الثامنة ( مركز دمر البلد + مركز مشروع دمر الصحي + مركز حي الورود الصحي )  </t>
  </si>
  <si>
    <t xml:space="preserve">إدارة المكتب الهندسي                                    صيانة التجهيزات الميكانيكية في المستشفى والاشراف على جميع الاعمال الطبية والمدنية والكهربائية  في المستشفى                                 متابعة عمل التجهيزات الميكيانيكية في المنطقة الصحية الثامنة التابعة لمديرية صحة دمشق          التأكد من عمل جميع الاجهزة الطبية وغير الطبية  تقديم الاقتراحات والدراسات الضرورية   والهادفة لتطوير للمستشفى وتقديم الخدمة الطبية على أكمل وجه                                           عضو لجنة الجودة في المستشفى                           </t>
  </si>
  <si>
    <t>إعداد 2 دفاتر شروط فنية  عدد 2              الاشراف على تنفيذ جميع الاعمال الهندسية (طبية وميكانيكية ومدنية ) في المستشفى      التاكد من جاهزية جميع الاجهزة في  المستشفى                                              مراجعة الشركة العامة لكهرباء دمشق من أجل مناقشة الغاء التقنين الكهربائي في  المستشفى                                             مراجعة فرع اتصالات دمشق من أجل دفع فواتير هواتف  المستشفى                       مراجعة مديرية صحة دمشق من أجل مناقشة بعض الامور التي تخص  المستشفى        مناقشة الخطة الاستثمارية مع رئيس دائرة التخطيط في مديرية صحة دمشق        تجهيز غرفة للورشة الفنية في  المستشفى    المساهمة في رفع تقرر شهري عن الجودة في  المستشفى                                      رفع طلبات صيانة للمراكز التابعة للمنطقة الصحية الثامنة التابعة لمديرية صحة دمشق  الاشراف على تنفيذ الاعمال الميكانيكية في المراكز الصحية</t>
  </si>
  <si>
    <t>صيانة تجهيزات الميكانيكية</t>
  </si>
  <si>
    <t>حلا العجي</t>
  </si>
  <si>
    <t>نزار</t>
  </si>
  <si>
    <t xml:space="preserve">هندسة  تكنولوجيا معلومات واتصالات </t>
  </si>
  <si>
    <t>طرطوس</t>
  </si>
  <si>
    <t>مهندس الكترون (كهرباء ضعيف)</t>
  </si>
  <si>
    <t xml:space="preserve">مسؤول المعلوماتية في المستشفى               صيانة ومتابعة الشبكة المعلوماتية (حواسيب--طابعات--النت--)
صيانة ومتابعة جميع الأعمال الكهربائية ومتابعة عمل جهاز البصمة ومتابعة عمل مقسم الهاتف </t>
  </si>
  <si>
    <t xml:space="preserve">الاشراف على عمل جهاز البصمة في المستشفى  وارسال بياناته ال مسؤولي التنمية الادارية
الاشراف عل تركيب نيونات واباريز كهربائية بدل التالفة
مخاطبة مقسم الهاتف في مشروع دمر من اجل توصيلات الهاتف والنت في المستشفى 
ربط  وتعريف الطابعات مع الكمبيوترات  الخاصة بها 
تركيب أجهزة وحدة عدم انقطاع التيار الكهربائي (ups) للحواسيب والأحهزة الطبية والتاكد يوميا من عملها لضمان استمرار عمل الاجهزة وبالتالي تقديم الخدمة الطبية بالشكل الامثل
تنفيذ أعمال الجرد لمستودع المستشفى ورفع التقرير اللازم
</t>
  </si>
  <si>
    <t>صيانة الشبكة المعلوماتية</t>
  </si>
  <si>
    <t>في مرحلة التدريب</t>
  </si>
  <si>
    <t xml:space="preserve"> </t>
  </si>
  <si>
    <t>علا الدامور</t>
  </si>
  <si>
    <t>شاكر</t>
  </si>
  <si>
    <t xml:space="preserve">مهندس مدني </t>
  </si>
  <si>
    <t>_</t>
  </si>
  <si>
    <t>متابعة الاعمال المدنية ( ترميم -دهان-أعمال صحية-نجارة الخشب).
رئيس لجنة النظافة والتطهيرفي المشفى
رئيس لجنة السلامة العامة في المشفى</t>
  </si>
  <si>
    <t>الإشراف على تبديل خلاطات عدد 3 في القبو في المشفى)
الإشراف على صيانة أبواب المشفى (تشحيم المفصلات-- وتثبيت قبضة الابواب مع الاقفال)
الإشراف على صيانة أثاث المشفى (إصلاح كراسي خشبية عدد 2 وكرسي دوار هيدروليك عدد 1  )
الاشراف على معالجة تسريب المياه الحاصل في القبو وتبديل برابيش عدد 6 في حمامات المشفى    وإعداد تقارير النظافه والتطهير بشكل يومي وشهري والإشراف على العمال 
إعداد تقرير السلامة العامة بشكل شهري واالكشف اليومي على خزانات المياه الموجودة على السطح والتاكد من التمديات وعدم وجود تسريب مياه منها</t>
  </si>
  <si>
    <t>متابعة الاعمال المدنية</t>
  </si>
  <si>
    <t>أحلام الذهب</t>
  </si>
  <si>
    <t>مهندس طبي</t>
  </si>
  <si>
    <t>مشفى دمشق لامراض وجراحة القلب</t>
  </si>
  <si>
    <t>1-صيانة 3 اجهزة كوتري 
2-تم تجهيز العناية الإسعافية و العيادة الإسعافية بكافة التجهيزات الطبية اللازمة لتقديم خدمة العناية للمرضى (بما فيها جهاز تنفس آلي – أجهزة مراقبة علامات حيوية(مونيتورات)مع اكسسواراتها- جهاز صدمة كهربائية – جهاز تخطيط قلب كهربائي – جهاز قياس نسبة الأكسجة spo2 - جهاز ماص مفرزات بالإضافة لوضع كافة الإكسسوارات اللازمة لعمل التجهيزات الطبية) وتم تجريب كافة الأجهزة ووضع العناية في حالة الجاهزية التامة
4-تم تأمين مادة الآزوت السائل وإعادة تفعيل العمل بالبخ بالآزوت في عيادة الآزوت.
5-تم تركيب قبضة جديدة لجهاز إزالة الوشم بالليزر ماركةpicosecond laser  وتم تشغيل الجهاز وهو يعمل بشكل جيد.  
7-تم إصلاح جهاز الدمويات ماركة sysmex في المخبر وإجراء معايرة للجهاز 
8-إصلاح جهاز الصدمة ماركةmindray  في العيادة الإسعافية  
9-إصلاح مشكلة في الطباعة في جهاز التخطيط ماركة Bionics في العيادة الإسعافية والجهاز يعمل بشكل جيد 
10-إصلاح المعقمة الجافة نوع STERILIZER (HOT AIR OVEN) موديل NSW-143 في غرفة (الجراحة الصغرى) وتدريب الكادر على تشغيلها.
11-تسليم جهاز تحليل كيمياء نصف آلي نوع SLIM لقسم(المخبر) من المستودع وتم وضع الجهاز بالخدمة بعد إجراء معايرة وغسيل (باستخدام الماء المقطر) للدارة الهيدروليكية الخاصة به</t>
  </si>
  <si>
    <t>زينب نادر</t>
  </si>
  <si>
    <t>هيثم</t>
  </si>
  <si>
    <t>تشغيل وصيانة ومتابعة عمل كافة التجهيزات الطبية   في المستشفى.
إعداد دفاتر الشروط الخاصة بتقديم وتركيب وصيانة التجهيزات الطبية
متابعة عمل وصيانة كافة التجهيزات الطبية في المراكز الصحية في المنطقة الصحية الثامنة ( مركز دمر البلد + مركز مشروع دمر الصحي + مركز حي الورود الصحي )</t>
  </si>
  <si>
    <t>1.صيانة وإصلاح اجهزة كوتري عدد /3 /.
2.  صيانة وإصلاح أجهزة مخبرية عدد /2/.
3. إصلاح المعقمة الجافة نوع STERILIZER (HOT AIR OVEN) موديل NSW-143 في غرفة (الجراحة الصغرى) وتدريب الكادر على تشغيلها.
4. تسليم جهاز تحليل كيمياء نصف آلي نوع SLIM لقسم(المخبر) من المستودع وتم وضع الجهاز بالخدمة بعد إجراء معايرة وغسيل (باستخدام الماء المقطر) للدارة الهيدروليكية الخاصة به في المشفى التخصصي للأمراض الجلدية.
5. إعداد دفتر شروط لتقديم قبضات جهاز فراكشنال ليزر الموجود في المشفى
6. إعداد دفتر شروط لتقديم وتركيب جهاز تحليل كيمياء آلي وجهاز هرمونات لزوم المخبر في المشفى
7. إجراء جولات دورية على المراكز الصحية في المنطقة الصحية الثامنة و جرد التجهيزات الطبية في المراكز المذكورة.
8. إعادة تفعيل المخبر و تشغيل كافة التجهيزات المخبرية من خلال تأمين كبلات تغذية بدل الكبلات التي تم سرقتها عند التحرير في مركز حي الورود.
9.  إصلاح اللمبة الخاصة بجهاز فحص العين slit lamp في مركز دمر البلد.
10. إصلاح جهاز التحكم الخاص لوحة إشارات فحص النظر.</t>
  </si>
  <si>
    <t>تامه طامزوق</t>
  </si>
  <si>
    <t>عبد القادر</t>
  </si>
  <si>
    <t>مهندس زراعي</t>
  </si>
  <si>
    <t>متابعة الاعمال الحدائقية
واعمال مكافحة الحشرات والقوارض</t>
  </si>
  <si>
    <t xml:space="preserve">تقليم  الأشجار ..عزق وتقليب التربة وتحويض النباتات في حديقة المشفى 
 ورش ومكافحة الامراض على النباتات بالمبيدات الحشرية والفطرية .
.رش الجزء الخارجي من المشفى بالمبيدات الحشرية ومكافحة القوارض
والاشراف على أعمال مكافحة الحشرات والقوارض داخل المشفى
 </t>
  </si>
  <si>
    <t>متابعة الاعمال الحدائقية</t>
  </si>
  <si>
    <t>سجى غرير</t>
  </si>
  <si>
    <t xml:space="preserve">معهد متوسط صناعات تطبيقية </t>
  </si>
  <si>
    <t>مساعد مهندس</t>
  </si>
  <si>
    <t xml:space="preserve">متابعة عمل التجهيزات الميكانيكية والكشف عن الاعطال ورفع التقرير اللازم                           عضو في لجنة استلام الهدايا المقدمة للمستشفى     </t>
  </si>
  <si>
    <t>الكشف على  الاجهزة الميكانيكية (المكيفات والتكييف المركزي وبرادات الادوية )           تم استلام خزان ازوت عدد 1 مقدم من وتار تم استلام جهاز بخ ازوت عدد 2 وخزان ازوت عدد1 وجهاز ضخ ازوت يدوي عدد 1 من منظمة الصليب الاحمر                    تم استلام  كولر ماء عدد 1 مقدم من   شركة زيرا                 تم استلام كولر ماء عدد 1 مقدم من شركة افيس 
 متابعة الاعمال المكتبية في المكتب الهندسي</t>
  </si>
  <si>
    <t>متابعة الاعمال الميكانيكية والاعمال المكتبية</t>
  </si>
  <si>
    <t>شذا مشمش</t>
  </si>
  <si>
    <t>حمدي</t>
  </si>
  <si>
    <t>متابعة الأعمال المدنية  
في المنطقة الصحية الثامنة ( مركز دمر البلد + مركز مشروع دمر الصحي + مركز حي الورود الصحي )</t>
  </si>
  <si>
    <t xml:space="preserve">متابعة  أعمال مدنية </t>
  </si>
  <si>
    <t xml:space="preserve"> باشرت العمل في المشفى التخصصي لأمراض الجلدية بتاريخ 6/5/2026</t>
  </si>
  <si>
    <t>عبير شاهين</t>
  </si>
  <si>
    <t>معهد متوسط لهندسة الكمبيوتر</t>
  </si>
  <si>
    <t>متابعة الاعمال الحاسوبية</t>
  </si>
  <si>
    <t>متابعة الأعمال الحاسوبية و تنفيذ الأعمال المكتبية في المكتب الهندسي.
كتابة وتنسيق الخطط (الأمنية, والجاهزية, ...)
الإشراف على عمل والحالة الفنية لكافة الحواسيب في المشفى</t>
  </si>
  <si>
    <t>متابعة أعمال حواسيب</t>
  </si>
  <si>
    <t>باسم الشبلي</t>
  </si>
  <si>
    <t>محمد نادر</t>
  </si>
  <si>
    <t>شهادة مهنية</t>
  </si>
  <si>
    <t>عامل ورشة فنية</t>
  </si>
  <si>
    <t xml:space="preserve">صيانة وإصلاح الاعمال الخشبية                      صيانة وإصلاح الاعطال الكهربائية                 تقديم المساعدة في أعمال الحدادة والصحية  في المنطقة الصحية الثامنة ( مركز دمر البلد + مركز مشروع دمر الصحي + مركز حي الورود الصحي )                                             </t>
  </si>
  <si>
    <t xml:space="preserve">صيانة 4 أبواب خشب من خلال تشحيم المفصلات وتثبيت مقابض الابواب والتاكد من الاقفال                                               اصلاح 4 كراسي خشب ووضعها في الخدمة                                               تركيب شاشة  65 بوصة في قاعة المحاضرات                                            </t>
  </si>
  <si>
    <t>متابعة الاعمال الخشبية والكهربائية</t>
  </si>
  <si>
    <t>مكتب هندسي  مشفى ابن االنفيس</t>
  </si>
  <si>
    <t>محمد غزوان حيمون</t>
  </si>
  <si>
    <t xml:space="preserve">محمد راتب </t>
  </si>
  <si>
    <t xml:space="preserve">هندسة مدنية </t>
  </si>
  <si>
    <t>رئيس المكتب الهندسي - مهندس مدني</t>
  </si>
  <si>
    <t xml:space="preserve">مثبت  </t>
  </si>
  <si>
    <t xml:space="preserve">دراسات واشراف وتنفيذ  ومتابعة أعطال وصيانة </t>
  </si>
  <si>
    <t xml:space="preserve">متابعة صيانة أعطال واصلاحات في المجمع -  دراسات فنية خاصة بالابنية </t>
  </si>
  <si>
    <t>خبرة هندسية في الدراسات والتنفيذ</t>
  </si>
  <si>
    <t xml:space="preserve">نزار عشماوي </t>
  </si>
  <si>
    <t xml:space="preserve">مهندس تجهيزات طبية </t>
  </si>
  <si>
    <t>متابعة صيانة أجهزة طبية - دراسة شروط فنية - استلام تجهيزات</t>
  </si>
  <si>
    <t xml:space="preserve">دراة شروط فنية لتجهيزات عدد  لايقل عن 6 دراسات </t>
  </si>
  <si>
    <t xml:space="preserve">خبرة هندسية في التجهيزات الطبية </t>
  </si>
  <si>
    <t>أسامة حوى</t>
  </si>
  <si>
    <t xml:space="preserve">رئيس لجنة التلف في مديرية صحة دمشق </t>
  </si>
  <si>
    <t xml:space="preserve">متابعة أعطال وصيانات </t>
  </si>
  <si>
    <t xml:space="preserve">متابعة اصلاحات متنوعة أثناء المناوبات </t>
  </si>
  <si>
    <t xml:space="preserve">خبرة هندسية في التجهيزات الميكانيكية </t>
  </si>
  <si>
    <t>نجاح دودو</t>
  </si>
  <si>
    <t xml:space="preserve">عثمان </t>
  </si>
  <si>
    <t xml:space="preserve">هندسة كيميائية </t>
  </si>
  <si>
    <t xml:space="preserve">مهندسة كيميائية </t>
  </si>
  <si>
    <t xml:space="preserve">متابعة قسم الغازات الطبية - دراسة الشروط الفنية </t>
  </si>
  <si>
    <t xml:space="preserve">دراة شروط فنية لتجهيزات عدد  لايقل عن4 دراسات </t>
  </si>
  <si>
    <t xml:space="preserve">خبرة في دراسات الغازات الطبية </t>
  </si>
  <si>
    <t>نذير الياسين</t>
  </si>
  <si>
    <t xml:space="preserve">محمد </t>
  </si>
  <si>
    <t xml:space="preserve">مهندس ميكانيك </t>
  </si>
  <si>
    <t>اشراف على عقد  صيانة محطة أكسجين</t>
  </si>
  <si>
    <t>خبرة في صيانة  محطات الغازات الطبية</t>
  </si>
  <si>
    <t xml:space="preserve">مهندسة تجهيزات طبية </t>
  </si>
  <si>
    <t>متابعة صيانة أأجهزة طبية  ودراسة شروط فنية  واستلام تجهيزات</t>
  </si>
  <si>
    <t xml:space="preserve">دراة شروط فنية لتجهيزات عدد  لايقل عن 10 دراسات </t>
  </si>
  <si>
    <t xml:space="preserve">خبرة هندسية في الدراسات والصيانة الطبية </t>
  </si>
  <si>
    <t xml:space="preserve">رشاالصباغ </t>
  </si>
  <si>
    <t xml:space="preserve">هندسة الكترون </t>
  </si>
  <si>
    <t xml:space="preserve">مهندسة تجهيزات كهربائية ومعلواتية </t>
  </si>
  <si>
    <t>متابعة صيانة تجهيزات كهربائية وميكانيكية - دراسة الشروط الفنية</t>
  </si>
  <si>
    <t xml:space="preserve">دراة شروط فنية لتجهيزات عدد  لايقل عن 4 دراسات </t>
  </si>
  <si>
    <t xml:space="preserve">خبرة هندسية في تجهيزات المعلوماتية </t>
  </si>
  <si>
    <t xml:space="preserve">محمد ابراهيم </t>
  </si>
  <si>
    <t>معهد صحي - اجازة تجارة واقتصاد</t>
  </si>
  <si>
    <t>رئيس لجنة الصيانة في مديرية صحة دمشق</t>
  </si>
  <si>
    <t xml:space="preserve">مكلف </t>
  </si>
  <si>
    <t xml:space="preserve">مشفى القلبية في مشروع دمر </t>
  </si>
  <si>
    <t xml:space="preserve">مشفى ابن النفيس </t>
  </si>
  <si>
    <t xml:space="preserve">متابعة أعطال وصيانات تجهيزات طبية </t>
  </si>
  <si>
    <t>متابعة صيانات وأعطال في مديرية الصحة / مراكز- مشافي /</t>
  </si>
  <si>
    <t xml:space="preserve">خبرة في صيانة تجهيزات طبية </t>
  </si>
  <si>
    <t xml:space="preserve">يعمل في نفس المجال </t>
  </si>
  <si>
    <t xml:space="preserve">محمد الخطاب </t>
  </si>
  <si>
    <t xml:space="preserve">معهد صحي تجهيزات طبية </t>
  </si>
  <si>
    <t xml:space="preserve">مساعد مهندس تجهيزات طبية </t>
  </si>
  <si>
    <t xml:space="preserve">متابعة صيانة تجهيزات طبية عمليات وعناية- دراسات - استلام </t>
  </si>
  <si>
    <t xml:space="preserve">دراسات شروط فنية لاتقل عن 8- اصلاحات متنوعة في قسم العمليات والعناية  </t>
  </si>
  <si>
    <t>سامر عبد الله</t>
  </si>
  <si>
    <t xml:space="preserve">عبد الرحمن </t>
  </si>
  <si>
    <t xml:space="preserve">متابعة صيانة تجهيزات طبية ايكو وتنظير - دراسات- استلام </t>
  </si>
  <si>
    <t xml:space="preserve">دراسات شروط فنية لاتقل عن 8- اصلاحات متنوعة في قسم التنظير والايكو والعيادات   </t>
  </si>
  <si>
    <t>حسام محمد</t>
  </si>
  <si>
    <t xml:space="preserve">حامد </t>
  </si>
  <si>
    <t xml:space="preserve">متابعة أعطال وصيانات - دراسات-فنية </t>
  </si>
  <si>
    <t>أحمد الأحمد</t>
  </si>
  <si>
    <t xml:space="preserve">خالد </t>
  </si>
  <si>
    <t xml:space="preserve">متابعة صيانة تجهيزات طبية أشعة وطبقي- دراسات - استلام  </t>
  </si>
  <si>
    <t>دراسات شروط فنية لاتقل عن 8- اصلاحات متنوعة في قسم االطبقي والاشعة والعمليات</t>
  </si>
  <si>
    <t xml:space="preserve">سامح الخطيب </t>
  </si>
  <si>
    <t>خبرة في صيانة تجهيزات طبية والمعلوماتية</t>
  </si>
  <si>
    <t xml:space="preserve">أنغام أحمد </t>
  </si>
  <si>
    <t xml:space="preserve">متابعة اصلاحات متنوعة فيي الدوام الصباحي </t>
  </si>
  <si>
    <t xml:space="preserve"> لاتوجد خبرة معينة </t>
  </si>
  <si>
    <t xml:space="preserve">محمد انس دورو </t>
  </si>
  <si>
    <t xml:space="preserve">متابعة صيانة تجهيزات طبية  عام </t>
  </si>
  <si>
    <t xml:space="preserve">اسماعيل نتوف </t>
  </si>
  <si>
    <t>معهد التقاني كهرباء وميكانيك</t>
  </si>
  <si>
    <t>مساعد مهندس تجهيزات ميكانيك وكهرباء</t>
  </si>
  <si>
    <t xml:space="preserve">متابعة صيانة تجهيزات تكييف وتبريد  وتدفئة </t>
  </si>
  <si>
    <t xml:space="preserve">متابعة اصلاحات متنوعة أثناء المناوبات في مجال التبريد والتكييف  </t>
  </si>
  <si>
    <t>خبرة في صيانة تجهيزات تكييف وتبريد وحراقات</t>
  </si>
  <si>
    <t>علي جديد</t>
  </si>
  <si>
    <t>عبدو</t>
  </si>
  <si>
    <t>فاتن أسعد</t>
  </si>
  <si>
    <t xml:space="preserve"> لاشي يذكر </t>
  </si>
  <si>
    <t xml:space="preserve">لاتوجد خبرة معينة </t>
  </si>
  <si>
    <t>وسام أسود</t>
  </si>
  <si>
    <t>معهد مراقبين فنيين</t>
  </si>
  <si>
    <t xml:space="preserve">مراقبة فنية </t>
  </si>
  <si>
    <t xml:space="preserve">لاشي يذكر </t>
  </si>
  <si>
    <t>مكتب هندسي مشفى الزهراوي</t>
  </si>
  <si>
    <t>هيثم الصباغ</t>
  </si>
  <si>
    <t>محمد قاسم</t>
  </si>
  <si>
    <t>هندسة كهراباء /الكترون</t>
  </si>
  <si>
    <t>مثبت / مكلف</t>
  </si>
  <si>
    <t>مشفى الزهراوي</t>
  </si>
  <si>
    <t>رئيس المكتب الهندسي</t>
  </si>
  <si>
    <t>صيانة وحدات التكييف  + تركيب حاضنة ومشعة في قسم الحواضن ومتابعة أعمال المكتب الهندسي+ اعداد دفتر شروط لمحطة الغازات الطبية</t>
  </si>
  <si>
    <t>دورات خارجية على صيانة اجهزة الاشعة والتنظير الهضمي ومحطات توليد الاوكسجين وصيانة اجهزة تبريد اللقاحات ودورات في الوقاية الاشعاعية في هيئة الطاقة الذرية بالاضافة الى ادرة المكاتب الهندسية في مشافي مديرية صحة دمشق ورئاسة قسم الغازات الطبية والتعقيم والعمليات في مديرية الهندسة الطبية اعداد دفاتر شروط  لعدد كبير من التجهيزات الطبية , دراسة مناقصات لاستجرار كثير من التجهيزات الطببية</t>
  </si>
  <si>
    <t>محمود الدقر</t>
  </si>
  <si>
    <t>برهان</t>
  </si>
  <si>
    <t>مهندس تجهيزات طبية</t>
  </si>
  <si>
    <t>صيانة ومتابعة الأجهزة الطبية في  مختلف أقسام المشفى + اعداد دفاتر شروط  لاستدراج عروض التجهيزات الطبية + اعداد محاضر الاستلام الفني الأولي والنهائي  +  تعريف الموظفين على جهاز البصمة واعداد وطباعة جدول دوام البصمة للموظفين</t>
  </si>
  <si>
    <t xml:space="preserve"> اعداد جداول  التجهيزات الطبية في المشفى + اعداد بطاقات صيانة للأجهزة الطبية +تعريف الموظفين على جهاز البصمة و اعداد جدول دوام البصمة للموظفين + الصيانة اليومية للأجهزة الطبية</t>
  </si>
  <si>
    <t>راميا ابراهيم</t>
  </si>
  <si>
    <t>جرجس</t>
  </si>
  <si>
    <t>اعداد دفاتر الشروط الفنية والاشراف على اعمال الانشاءوالترميم والصحية في المشفى ورئيسة لجنة استلام المستودعات في المشفى وعضو ضبط الجودة</t>
  </si>
  <si>
    <t xml:space="preserve">انشاء غرفة عناية مشددة و صيانة الصحية والحمامات في الشعبة العامة للمشفى و اعداد محاضر استلام لمستودعات الصيدلية والمستهلكات الطبية والثوابت ومتابعة تجهزات طفايات الحريق لضبط الجودة </t>
  </si>
  <si>
    <t>سمية العيد</t>
  </si>
  <si>
    <t>أسامه</t>
  </si>
  <si>
    <t xml:space="preserve">صيانة ومتابعة الأجهزة الطبية في المشفى </t>
  </si>
  <si>
    <t>عضو لجنة الاستلام الفني لمواد المستودعات</t>
  </si>
  <si>
    <t xml:space="preserve">صيانة ومتابعة الأجهزة الطبية في  مختلف أقسام المشفى + اعداد دفاتر شروط  لاستدراج عروض التجهيزات الطبية + اعداد محاضر الاستلام الفني الأولي والنهائي  </t>
  </si>
  <si>
    <t>مرهج  باكير</t>
  </si>
  <si>
    <t>رئيس لجنة شراء الصيانة</t>
  </si>
  <si>
    <t>الإشراف ومتابعة صيانة التجهزات الميكانيكية ( مولدات  شوديرات التدفئة  ، محطة الغازات الطبية )</t>
  </si>
  <si>
    <t>اعداد دفتر شروط عمرة محطة الغازات الطبية</t>
  </si>
  <si>
    <t>الإشراف ومتابعة صيانة اتجهزات الميكانيكية ( مولدات  شوديرات التدفئة  ، محطة الغازات الطبية )</t>
  </si>
  <si>
    <t>نبراس ديوب</t>
  </si>
  <si>
    <t>صيانة ومتابعة الأجهزة الطبية في المشفى + رئيس لجنة التنسيق في المشفى</t>
  </si>
  <si>
    <t>اعداد دفتر شروط عمرة محطة توليد الاوكسجين الطبي في المشفى + اعداد بطاقات الأجهزة الطبية  واجراء الصيانة اليومية للأجهزة الطبية</t>
  </si>
  <si>
    <t>تيسير شلش</t>
  </si>
  <si>
    <t>باسيلوس</t>
  </si>
  <si>
    <t>وزارة الصحة /مديرية الهندسة الطبية</t>
  </si>
  <si>
    <t>صيانة ومتابعة الأجهزة الطبية في الحواضن والعمليات والعناية</t>
  </si>
  <si>
    <t xml:space="preserve">تركيب الحوضن واجهزة العناية المقدمة كهدايا من قبل المنظمة بالإضافة إلى جرد الأجهزة الطبية في المشفى  وتجهز بطاقات صيانة   واجراء الصيانة اليومية </t>
  </si>
  <si>
    <t>أدهم نادر</t>
  </si>
  <si>
    <t>اصلاح معقمات جافة +ماص مفرزات + اصلاح منافس + اصلاح جهاز غازات الدم بالإضافة إلى عمله كماوب بمراقبة عمل المولدة وجميع التجهيزات الطبية واصلاح الأعطال الكهربائية</t>
  </si>
  <si>
    <t>دانا الشحادة</t>
  </si>
  <si>
    <t>جودة</t>
  </si>
  <si>
    <t>هندسة كهرباء / الكترون</t>
  </si>
  <si>
    <t xml:space="preserve">مناوبات </t>
  </si>
  <si>
    <t>صيانة ومتابعة الأجهزة الكهربائية والالكترونية في المشفى</t>
  </si>
  <si>
    <t>لجنة دراسة العروض الفنية للمواد المطلوب شراؤها في المشفى + متابعة وصيانة الأجهزة  الكهرابئية والإلكترونية</t>
  </si>
  <si>
    <t>نور دبيقه</t>
  </si>
  <si>
    <t>ميسم</t>
  </si>
  <si>
    <t>هندسة حواسيب وتحكم آلي</t>
  </si>
  <si>
    <t xml:space="preserve">عضو لجنة الامداد + عضو لجنة المناقصات + مهندسة حواسيب </t>
  </si>
  <si>
    <t xml:space="preserve">صيانة ومتابعة أجهزة الحواسيب والطابعات وآلات التصوير + متابعة الحواسيب والإنترنت في المشفى + المساعدة في الأمور التقنية </t>
  </si>
  <si>
    <t>ريم اسماعيل</t>
  </si>
  <si>
    <t>مهندس صيانة تجهيزات ميكانيك</t>
  </si>
  <si>
    <t>صيانة ومتابعة تجهزات التكييف والتبريد + صيانة ومتابعة التجهيزات الميكانيكية في مختلف الأقسام (المطبخ  والغسيل والمصاعد ) + اعداد دفتر شروط + استلام فني + اشراف على مشروع تركيب الطاقة الشمسية + لجنة جرد البوفيه</t>
  </si>
  <si>
    <t>متابعة فنية لأقسام المشفى</t>
  </si>
  <si>
    <t xml:space="preserve">صيانة ومتابعة تجهزات التكييف والتبريد + صيانة ومتابعة التجهيزات الميكانيكية في مختلف الأقسام (المطبخ  والغسيل والمصاعد ) + اعداد دفتر شروط + استلام فني + اشراف على مشروع تركيب الطاقة الشمسية </t>
  </si>
  <si>
    <t>هبه عيسى</t>
  </si>
  <si>
    <t xml:space="preserve">صيانة  ومتابعة الأجهزة الالكترونية والكهربائية في المشفى  </t>
  </si>
  <si>
    <t>صيانة رسيفرات + تركيب انارة + صيانة الكهرباء في العيادات والمخابر</t>
  </si>
  <si>
    <t xml:space="preserve">اياد شبرق </t>
  </si>
  <si>
    <t>معهد تدريب مهني</t>
  </si>
  <si>
    <t>عامل تمديدات صحية</t>
  </si>
  <si>
    <t>رئيس الورشة + تمديدات صحية</t>
  </si>
  <si>
    <t>العمل في أبواب الخشب + الصحية + الكهرباء</t>
  </si>
  <si>
    <t>التمديدات الصحية للمشفى</t>
  </si>
  <si>
    <t>اسماعيل ابراهيم</t>
  </si>
  <si>
    <t>معهد متوسط للهندسة الميكانيكية</t>
  </si>
  <si>
    <t>فني صيانة ميكانيك</t>
  </si>
  <si>
    <t>متابعة عمل وصيانة (المولدات الكهربائية + كاميرات المراقبة + المصاعد +الهواتف + طفايات الحريق)لجنة استلام مواد الصيانة والتجهيزات الهندسية في المشفى + لجنة التلف في المشفى+ متابعة واشراف على صيانة مصاعد المشفى + عمل كل ما يمكن اصلاحه خلال المناوبة</t>
  </si>
  <si>
    <t>اعداد دفتر الشروط الفنية لتقديم معقم رطب  + استلام نهائي لعقد تقديم وتركيب منظمات كهربائية + استلام نهائي لعقد تقديم وتركيب مرجل بخار + متابعة واشراف على صيانة وعمرة محرك المولدة الكهربائية + متابعة واشراف على الصيانة الدورية والوقائية لمولدة بركنز +استلام مولدة kasia- 71 k.v.a</t>
  </si>
  <si>
    <t>الصيانة الدورية للمولدات الكهربائية + مقسم الهاتف للمشفى</t>
  </si>
  <si>
    <t>منذر ادريس</t>
  </si>
  <si>
    <t>م.ف كهرباء</t>
  </si>
  <si>
    <t>ريف دمشق</t>
  </si>
  <si>
    <t>فني كهرباء</t>
  </si>
  <si>
    <t xml:space="preserve">متابعة وصيانة الشبكة الكهربائية في المشفى </t>
  </si>
  <si>
    <t>فحص اسطوانات الأكسجين وco2</t>
  </si>
  <si>
    <t>آيات شنوان</t>
  </si>
  <si>
    <t>عمر</t>
  </si>
  <si>
    <t>مساعد مهندس / طاقات جديدة ومتجددة</t>
  </si>
  <si>
    <t>مشرفة وحدة خدمية</t>
  </si>
  <si>
    <t xml:space="preserve">متابعة المولدات الكهربائية والمصاعد و الطاقة الشمسية في المشفى </t>
  </si>
  <si>
    <t>وسيم اسود</t>
  </si>
  <si>
    <t>معهد صحي /صيانة احهزة طبية</t>
  </si>
  <si>
    <t xml:space="preserve">صيانة ومتابعة الأجهزة الطبية في المشفى + متابعة تشغيل المولدة الكهربائية + متابعة صيانة الكمبيوترات </t>
  </si>
  <si>
    <t xml:space="preserve">متابعة تشغيل المولدة الكهربائية وتعبئة خزانات المازوت ومتابعة صيانة الأجهزة الطبية والكمبيوترات في المشفى </t>
  </si>
  <si>
    <t>محمد شريف النجار</t>
  </si>
  <si>
    <t>دافيد حنا</t>
  </si>
  <si>
    <t>معهد أجهزة طبية</t>
  </si>
  <si>
    <t>صيانة ومتابعة شبكة الحواسيب والإنترنت في المشفى + صيانة أجهزة الكمبيوتر والراوترات في المشفى</t>
  </si>
  <si>
    <t>محمد حسن نظام طهراني</t>
  </si>
  <si>
    <t>رياض</t>
  </si>
  <si>
    <t>معهد ميكانيك</t>
  </si>
  <si>
    <t>العمل في الورشة</t>
  </si>
  <si>
    <t>صيانة غسالات  + صيانة تمديدات صحية + صيانة الكهرباء في العمليات والعيادة+اعداد دفتر شروط عمرة محطة الغازات الطبية</t>
  </si>
  <si>
    <t>ناطق نمور</t>
  </si>
  <si>
    <t>نمور</t>
  </si>
  <si>
    <t>معهد مهني /كهرباء       بكالوريا كهرباء</t>
  </si>
  <si>
    <t>مشفى دمشق لجراحة القلب</t>
  </si>
  <si>
    <t>تمديدات كهربائية في أقسام المشفى    + لجنة اشراف على مشروع الطاقة الشمسية + لجنة جرد البوفيه</t>
  </si>
  <si>
    <t xml:space="preserve">متابعة كهربائية لأقسام المشفى </t>
  </si>
  <si>
    <t xml:space="preserve">عزام ديوب </t>
  </si>
  <si>
    <t>ديوب</t>
  </si>
  <si>
    <t>ثانوية صناعية  ميكانيك</t>
  </si>
  <si>
    <t xml:space="preserve">فني غازات طبية </t>
  </si>
  <si>
    <t xml:space="preserve">صيانة محطة الاكسجين + الهواء الطبي + صيانة المآخذ  الأكسجين والهواء الطبي في أقسام المشفى </t>
  </si>
  <si>
    <t xml:space="preserve">أماني </t>
  </si>
  <si>
    <t xml:space="preserve">أحمد زهير </t>
  </si>
  <si>
    <t>بكالوريا</t>
  </si>
  <si>
    <t>سكرتيرة مكتب الصيانة</t>
  </si>
  <si>
    <t>نمر أبو عيطة</t>
  </si>
  <si>
    <t>وديع</t>
  </si>
  <si>
    <t>معهد هندسي / مدني</t>
  </si>
  <si>
    <t xml:space="preserve">اشراف على الأعمال المدنية + عضو لجنة شراء الصيانة في المشفى </t>
  </si>
  <si>
    <t>إشراف على الأعمال المدنية بمشفى دمشق لجراحة القلب +جولات على المراكز الصحية التابعة لمديرية صحة دمشق</t>
  </si>
  <si>
    <t xml:space="preserve">رئاسة المنطقة الصحية الثامنة </t>
  </si>
  <si>
    <t xml:space="preserve">نضال الخطيب </t>
  </si>
  <si>
    <t>شريق</t>
  </si>
  <si>
    <t>مهني دهان</t>
  </si>
  <si>
    <t xml:space="preserve">رئاسة المنطقة الصحية الاولى </t>
  </si>
  <si>
    <t xml:space="preserve">بلال مرزوق </t>
  </si>
  <si>
    <t xml:space="preserve">موسى </t>
  </si>
  <si>
    <t xml:space="preserve">معهد صحي </t>
  </si>
  <si>
    <t xml:space="preserve">فني اجهزة طبية </t>
  </si>
  <si>
    <t>رئاسة المنطقة الصحية الثامنة</t>
  </si>
  <si>
    <t xml:space="preserve">اداري صباحي </t>
  </si>
  <si>
    <t xml:space="preserve">العمل على تجهيز 4 قاعات عمليات في مشفى ابن النفيس - متابعة اصلاح جهاز البانوراما وصيانة جهاز مخبري في مركز رئاسة المنطقة </t>
  </si>
  <si>
    <t xml:space="preserve">مديرية صحة دمشق </t>
  </si>
  <si>
    <t xml:space="preserve">اشراف وصيانة التجهيزات الطبية </t>
  </si>
  <si>
    <t>2017</t>
  </si>
  <si>
    <t xml:space="preserve">متابعة اعمال عقد  نظافة مشفى ابن رشد 
متابعة اعمال عقد صيانة المصاعد 
متابعة اعمال معايرة مجموعات التوليد الكهربائية ،(زكريا العاص. الزاهرة) ورفع طلب صيانه اللازم مع التوصيات المطلوبة مع حساب الرصيد التراكمي
انهاء اعداد دفتر شروط براد الجثث لمشفى ابن النفيس
انهاء اعداد دفتر شروط مكيفات ( مشفى الجلدية . ابن رشد)
انهاء اعداد دفتر شروط الخاص بعقد نظافة المركز التخصصي لطب الاسنان
متابعة صيانة مضخة المياه الرئيسية لمركز التضامن الصحي
</t>
  </si>
  <si>
    <t>• اصلاح الأجهزة الطبية في المراكز الصحية اضافة الى عملي في لجنة التنسيق ومتابعة اعمال صيانة الأجهزة الطبية مع لجنة الصيانة ومع لجان دفاتر الشروط ونقل الأجهزة الطبية من مشفى جراحة القلب إلى المستودعات المركزية</t>
  </si>
  <si>
    <t xml:space="preserve">انهاء اعداد دفتر الشروط الخاص بتأمين ورق طباعة لزوم مديرية الصحة 
انهاء اعداد دفتر شروط لتركيب الواح طاقة شمسية لزوم المراكز الصحية 
انهاء اعداد دفتر شروط تنظيف مركز العيادات التخصصية لطب الاسنان 
متابعة اعمال صيانة اعطال الميكانيك في مشفى ابن رشد وتم رفع طلبات اصلاح بكافة الأعطال 
</t>
  </si>
  <si>
    <t xml:space="preserve">٣_ اصلاح  اعطال جهاز كرسي أسنان في مركز عبد الكريم الايوبي الصحي
٤_اصلاح اعطال كرسي أسنان في مركز محمود برازي 
تلافي الملاحظات على دفتر شروط كرسي اسنان مشفى ابن النفيس 
اصلاح كرسي اسنان مركز الدحاديل 
اصلاح كرسي اسنان مركز كفرسوسة القديم 
الكشف على جهاز لايت كيور في مركز كفرسوسة الجديد
اصلاح اعطال كرسي اسنان مركز العمارة 
اصلاح جهاز السكيلر في مركز العمارة 
اصلاح جهاز كرسي اسنان في مركز التضامن 
متابعة وإصلاح التجهيزات في عيادات الاسنان في جميع المراكز الصحية 
المساعدة في متابعة طلبات الصيانة وسندات الإنجاز للمراكز والمشافي التابعة لمديرية صحة دمشق 
</t>
  </si>
  <si>
    <t xml:space="preserve">تلافي ملاحظات دفتر شروط كرسي اسنان مشفى ابن النفيس 
تلافي ملاحظات دفتر شروك محرك زرع مشفى ابن النفيس 
تلافي ملاحظات دفتر شروط كراسي اسنان اديب اللحام 
تلافي ملاحظات دفتر شروط حفارة حج الخشاء مشفى ابن النفيس 
متابعة وإصلاح التجهيزات في عيادات الاسنان في جميع المراكز الصحية 
</t>
  </si>
  <si>
    <t xml:space="preserve">• أولاً: الدعم الفني والأعمال المكتبية
تقديم الدعم الفني لأجهزة الحاسوب في المكتب الهندسي ومعالجة الأعطال الفنية عند الحاجة.
متابعة أعمال الشبكة المحلية وضمان استمرارية عملها بالشكل المطلوب.
المساعدة في الأعمال الإدارية ضمن الديوان من خلال إدخال البيانات ومعالجة الأعمال الحاسوبية المطلوبة.
• ثانياً: الأعمال المنفذة في منظومة الإسعاف والطوارئ
تنفيذ أعمال تجهيز وإعداد الشبكة السلكية الخاصة بمنظومة الإسعاف والطوارئ.
اختبار نقاط الشبكة والتأكد من جاهزيتها للعمل وفق المتطلبات الفنية.
إعداد شبكة الشاشات وربطها مع أجهزة الحاسوب الخاصة بالمنظومة.
معالجة مشكلة الربط بين جهاز تسجيل الكاميرات (DVR) وشاشة المراقبة المرتبطة به ضمن شبكة المراقبة.
متابعة الأعمال الفنية اللازمة لضمان استقرار عمل الشبكة والتجهيزات المرتبطة بها.
• ثالثاً: المهام الإدارية والفنية الخارجية
تنفيذ مهمة رسمية إلى مديرية الخدمات في محافظة دمشق بهدف استلام دفاتر الشروط والدراسات والمخططات اللازمة للأعمال والمشاريع ذات الصلة
</t>
  </si>
  <si>
    <t xml:space="preserve">• اتمام دراسة دفتر شروط تقديم وتركيب منظومة طاقة شمسية لبعض المراكز الصحية ومشفى ابن رشد
• قيد الدراسة ترميم مشفى ابن النفيس
• قيد الدراسة ترميم عمليات مشفى الهلال الأحمر
</t>
  </si>
  <si>
    <t xml:space="preserve">١-المساهمة في استقبال الأعطال هاتفيا والتواصل مع ورشة الصيانة الداخلية ومتابعة إصلاحها 
٢- المساهمة في توزيع بريد الكادر والمهمات الموكلة لهم حسب توجيهات رئيس القسم 
٣-المساهمة في توثيق الكتب الواردة وأرشفتها واعداد الردود الفنية بما يخص العمل الهندسي وفق توجيهات رئيس القسم إلى مختلف الفعاليات والوزارت 
٤-المساهمة في متابعة التنسيق مع رؤساء المكاتب الهندسية في المشافي حسب توجيه رئيس القسم 
٥-اللمساهمة في تنظيم واعداد المراسلات و الكتب الهندسية والإدارية وبما يخص شؤون العاملين في القسم 
٦- تنظيم جداول الاجازات الادارية و المهمات بعد تسليمها من قبل مراقب الدوام وارسالها للمديرية 
٧-المساهمة في توثيق طلبات شراء الصيانة وسندات الإنجاز وتسديدها وفرزها وأرشفة صورها ومتابعة التنزيل على الحاسوب من قبل الزملاء المكلفين بتنزيلها
٨-المتابعة مع رؤساء لجان شراء الصيانة في المشافي بما يخص طلبات الصيانة وسندات الإنجاز 
٩- مساعدة الزملاء في فتح اضابير السنوات السابقة المطلوبة منهم 
١٠-المساهمة في التواصل مع رؤساء اللجان الفنية حسب توجيهات رئيس القسم ومتابعة تجهيز دفاتر الشروط وارسالها إلى المديرية وفتح أضابير لهاو أرشفة صور عنها 
١١- المساهمة في فتح أضابير لعقود الصيانة الخاصة بالاجهزة والارشفة والتي تكون لجان الإشراف عليها من الكادر الهندسي 
١٢- المساهمة في استلام مادة المازوت في حال عدم تواجد أمين المستودع في القسم  
١٣-المساهمة في تنظيم جداول فرز الكادر الهندسي على المناطق الصحية
١٤-الرد على جميع استفسارات الزملاء ومحاولة إيجاد الحلول 
١٥- تنفيذ جميع الأعمال والمهام الموكلة لي من قبل رئيس القسم
١٦ -المساهمة بالاشراف على إرسال بريد القسم إلى المديرية
</t>
  </si>
  <si>
    <t xml:space="preserve">• إصلاح أعطال الكهرباء والصحية في جميع مراكز المديرية
• ومتابعة لجنة التلف
</t>
  </si>
  <si>
    <t xml:space="preserve">• متابعة الاعمال المدنية للمراكز الصحية (اصلاح اعمال التسريب ضمن مركز برزة الصحي ، تركيب قواعد معدنية وسلم معدني على سطح مركز برزة، استلام رفوف الديكسون من بناء المستودعات ونقله وتركيبه في مركز الشورى الصحي، زيارة على مركز ابي زر الغفاري ومركز الشيخ حسين الخطاب .....)
• بالاضافة على العمل بلجنة تراخيص المشافي الخاصة( مشفى الغزالي ، مشفى المزه التخصصي...)
• وترخيص المراكز الطبية الخاصة(مركز الاقصاب، مركز باسكوال ...)
</t>
  </si>
  <si>
    <t>متابعة جميع أعطال الصيانة وإصلاح مايمكن إصلاحه في جميع المراكز الصحية بشكل يومي</t>
  </si>
  <si>
    <t xml:space="preserve">• لجنة كشف وتراخيص الصيدليات 
• متابعة صيانة واعمال المنطقة السابعة وبناء المستودعات والمديرية
• اعداد دفاتر دراسة للنقاط الاسعافية من تركيب مكيفات وأسرة
</t>
  </si>
  <si>
    <t xml:space="preserve">• استلام مدرسة التمريض استلام نهائي
• متابعة دراسة  في مشفى  دمر للأمراض الجلدية 
• متابعة الأعمال لمراكز المنطقة السادسة
• البدء بمتابعة دراسة  ابن النفيس 
• الكشف على البئر في ابن النفيس
</t>
  </si>
  <si>
    <t xml:space="preserve">• انهاء دراسة التنظيف لمركز أبو ذر الغفاري 
• انهاء دراسة منظومات الطاقة الشمسية و سخانات المياه لعشر مراكز صحية  
• الكشف على موقع تركيب مصعد بانورامي في مشفى الكلية  الجراحي
• متابعة الأعمال لمراكز المنطقة الأولى
• البدء بدراسة ترميم ابن النفيس
• االكشف على  البئر في مجمع ابن النفيس
</t>
  </si>
  <si>
    <t xml:space="preserve">• إنهاء إعداد دفتر الشروط الخاص بنظام مراقبة بالمشفى التخصصي للامراض الجلديه  ١٠ كاميرات داخليه و١٢ كاميرا خارجيه .
• إنهاء إعداد دفتر شروط الخاص بمكيف عدد ٦ استطاعه ١.٥طن لزوم مشفى ابن رشد ومكيف عدد ٣ استطاعه ٢طن لزوم مشفى دمر الامراض الجلديه.
• متابعه أعمال الصيانه بالمنطقه الصحية السابعه( مركز المجاهد محمد الاشمر  )
• إنهاء دفتر الشروط الخاص بمقصف طلابي بالمعهد الصحي وكشك تصوير مستندات
</t>
  </si>
  <si>
    <t xml:space="preserve">• اعداد دفتر شروط جهاز كيمياء الي لمشفى الجلدية
• دراسة الشروط الفنية لجهاز تحليل الهرمونات مع الخضاب السكري
• اعداد دفتر الشروط لجهاز ايكو غدد لمشفى ابن النفيس
• متابعة اعمال الصيانة للاجهزة الطبية في المراكز التابعة للمنطقة الصحية الثانية
• يتم حاليا العمل على اعداد دفتر شروط لاجهزة التنفس الالي لمشفى ابن النفيس
• ودفتر شروط جهاز ليزر جلدي لمشفى الجلدية
</t>
  </si>
  <si>
    <t xml:space="preserve">متابهة آعمال مستودع القسم الهندسي كأمين مستودع.
*  متابعة أعمال ورشات الصيانة الداخلية في مديرية صحة محافظة دمشق.
* مكلف بأعمال لجنة التنسيق في مديرية صحة محافظة دمشق /عضو/.
</t>
  </si>
  <si>
    <t xml:space="preserve">• انهاء اعداد دفتر شروط المطبوعات الورقية 
• متابعة أعمال لجنة التلف في كافة المشافي والمراكز التابعة لها  حيث تمت متابعة أعمال التلف و إعداد مضابط تلف في الأماكن التالية مشفى ابن رشد المركز التخصصي لطب- الأسنان -القسم الهندسي- دائرة المستودعات في ابن النفيس -العيادات 
• بالاضافة لمركز الايدز
</t>
  </si>
  <si>
    <t xml:space="preserve">• رئيس لجنة الاستلام المواد في مستودع اللوازم المركزي للمواد التي يتم شرائها لمديرية صحة دمشق ويتم اعطاء تقارير عن الاستلام لهذة المواد .
• متابعة الاعطال في المنطقة الصحية الخامسة والمستودعات المركزية واعداد طلبات الصيانة اللازمة .
</t>
  </si>
  <si>
    <t xml:space="preserve">1. تركيب الكبل الكهربائي الخاص بمركز القدم الصحي
- طلب رافعة من الشركة العامة للكهرباء+متابعة للطلب
- متابعةموافقة مديرية الصحةعلى تحمل تكاليف تركيب الكبل 
- المتابعة والتنسيق مع الرؤساء في قسم التشغيل في الشركة العامة ومنظمة UNDP لتذليل كافة المتطلبات والصعوبات
_  الاشراف الميداني على تركيب الكبل لمركز القدم الصحي والربط مع الشبكة العامة ووصول التغذية الكهربائية للمركز 
2. البدء بمتابعة موضوع تامين مركز تحويل جديد لمركز الايدز بدل مركز التحويل المحروق وتغذيته بالكهرباء
_ تزويد الشركة العامة للكهرباء بضبط الشرطة يتضمن ضبط حريق مركز التحويل 
_ تزويد الشركة العامة للكهرباء باشعار تحويل فواتير الكهرباء العائدة للمركز للبدء بدراسة استبدال مركز التحويل المحروق 
ـ الموضوع قيد المتابعة  
3. متابعة كافة الاعطال الكهربائية في المراكز الصحية العائدة للمنطقة الصحية الثانية وفق الطلبات الواردة .
</t>
  </si>
  <si>
    <t xml:space="preserve">• اعداد دفتر شروط لمنظومات طاقة شمسية لعشر مراكز صحية  تم الانتهاء من العمل 
• مناقشة تركيب منظومة تسخين مياه لزوم المرضى والأطباء المقيمين  لمشفى ابن رشد تم انجاز العمل 
• الانتهاء من اعمال الاستلام النهائي لمدرسة التمريض التي تم تنفيدها من قبل منظمة undp   
• متابعة الاعطال الميكانيكية للمنطقة الصحية الاولى
• دراسة واعداد دفتر شروط لترميم مبنى المعالجة الفيزيائية وقسم المطبخ والعناية في مشفى ابن النفيس جاري العمل
</t>
  </si>
  <si>
    <t xml:space="preserve">• انهاء اعداد دفتر شروط تنظيف وتطهير العيادات الشاملة.
• انهاء اعداد دفتر شروط تنظيف وتطهير مشفى ابن رشد للأمراض النفسية.
• انهاء اعداد دفتر شروط تنظيف وتطهير المعهد التقاني الصحي بدمشق.
• انهاء اعداد دفتر شروط تقديم وتركيب حماية المشفى التخصصي للأمراض الجلدية.
• متابعة أعمال الصيانة والانجاز في مراكز المنطقة السابعة.
• متابعة أعمال الصيانة والانجاز في مرآب مديرية صحة دمشق.
</t>
  </si>
  <si>
    <t>تدقيق دفتر شروط تنضيف العيادات التخصصية مع انهائه وتسليمه بعد التعديل    القيام بالاعمال التي توكل الي من رئيس القسم</t>
  </si>
  <si>
    <t xml:space="preserve">• إعداد دفتر شروط فنية لجهاز أشعة قوسي عدد٢ لزوم قسم العمليات في مشفى ابن النفيس
• إعداد دفتر شروط فنية لجهاز أشعة بسيط عدد٢ لزوم مشفى ابن النفيس 
• إعداد دفتر شروط فنية لجهاز مجهر عصبية لزوم قسم العمليات في مشفى ابن النفيس 
• إعداد دفتر الشروط الفنية لجهاز مثقب عظمية لزوم قسم العمليات في مشفى ابن النفيس 
• تدقيق دفاتر الشروط لجميع العقود في القسم الهندسي والخدمات الطبية 
• متابعة صيانة الأعطال في المنطقة الصحية السابعة
• إعداد دفتر شروط فنية لجهاز تخطيط قلب ١٢ قناة لزوم ابن النفيس 
• إعداد دفتر شروط فنية لجهاز تخطيط قلب ثلاثي لزوم ابن النفيس 
• إعداد دفتر شروط فنية لجهاز تخطيط قلب ثلاثي لزم مشفى الجلدية 
• إعداد دفتر شروط فنية لجهاز برج تنظير لزوم قسم العمليات في مشفى ابن النفيس
</t>
  </si>
  <si>
    <t xml:space="preserve">• متابعه اعمال الصيانة في المراكز الصحية التابعة للمنطقة الصحية الثانية 
• تنزيل البيانات الخاصة بمشفى دمشق و المراكز الصحية 
• زيارة مشفى ابن الرشد لمتابعة اعمال الصيانة  الدورية
</t>
  </si>
  <si>
    <t xml:space="preserve">• متابعة اعمال الصيانة في المراكز الصحية بالمنطقة الخامسة ومشفى ابن رشد
• متابعة تنزيل البيانات الخاصة بمشفى ابن رشد ومشفى الهلال  على الحاسب
• القيام بزيارات لمشفى الهلال للمتابعة و العمل على دفتر الشروط الخاص بترميم قسم العمليات
</t>
  </si>
  <si>
    <t xml:space="preserve">• متابعة الاقسام الميكانيكية في مشفى ابن النفيس 
• متابعة المراكز الصحية في المنطقة الرابعة و الخامسة 
• العمل في لجنة تنسيق الأجهزة الطبية التابعة لمديرية صحة دمشق و الاجتماع مع رئيس القسم الهندسي و رئيس المستودعات لزوم عمل اللجنة
• العمل في لجنة التلف المركزية التابعة لوزارة الصحة و الاشراف على نقل المواد الموجودة في بناء كفرسوسة إلى المستودعات و ذلك للاستفادة من البناء لجهات تابعة لوزارة الصحة بالتعاون مع منظمات دولية و ذلك بتوجيه من السيد وزير الصحة
</t>
  </si>
  <si>
    <t>منابعه اعمال لجنه التنسيق الغير طبيه في المراكز والمشافي والفعاليات التابعه لمديريه صحه دمشق وعملي مراقب دوام في القسم الهندسي</t>
  </si>
  <si>
    <t xml:space="preserve">متابعة العمل بإعداد الدراسات الهندسية و بعض طلبات الصيانة للمراكز و الإستمرار بعمل السجلات و غيره لجان لدفاتر شروط </t>
  </si>
  <si>
    <t>متابعة اصلاح الاعطال الكهربائية في مراكز المنطقة الصحية الرابعة و الخامسة واجراء جولات دائمة للمراكز الصحية المذكورة للوقوف على جاهزيتها ورفع طلبات صيانة لبعص الاعطال الكهربائية والتواصل مع طوارئ الكهرباء لتمديد خط كهرباء لمركز القابون الصحي وتركيب عداد كهربائي لمركز عش الورور ومركز برزة البلد</t>
  </si>
  <si>
    <t>دراسة ترميم ابن النفيس متابعة طلبات صيانة المنطقة الثامنة</t>
  </si>
  <si>
    <t xml:space="preserve">الاشراف:
1- العقد رقم 11الخاص بصيانة المصاعد التابعة ل مديرية صحة مدينة دمشق والمراكز الصحية والمشافي التابعة لها.
2-العقد رقم 5 الخاص بمجموعات التوليد الكهربائية ل مديرية صحة مدينة دمشق والمراكز الصحية والمشافي التابعة لها.
3-صيانة مراكز المنطقة الصحية الخامسة .
4 -  التعاون مع منظمة (ميديك)  للاشراف على حالة المراكز الصحية والمشافي العامة
اللجان المستقلة: 
1- رئيس لجنة التنسيق ل مديرية صحة مدينة دمشق والمراكز الصحية والمشافي التابعة لها
الاشراف:
1- العقد رقم 11الخاص بصيانة المصاعد التابعة ل مديرية صحة مدينة دمشق والمراكز الصحية والمشافي التابعة لها.
2-العقد رقم 5 الخاص بمجموعات التوليد الكهربائية ل مديرية صحة مدينة دمشق والمراكز الصحية والمشافي التابعة لها.
3-صيانة مراكز المنطقة الصحية الخامسة .
4 -  التعاون مع منظمة (ميديك)  للاشراف على حالة المراكز الصحية والمشافي العامة
اللجان المستقلة: 
1- رئيس لجنة التنسيق ل مديرية صحة مدينة دمشق والمراكز الصحية والمشافي التابعة لها
الاشراف:
1- العقد رقم 11الخاص بصيانة المصاعد التابعة ل مديرية صحة مدينة دمشق والمراكز الصحية والمشافي التابعة لها.
2-العقد رقم 5 الخاص بمجموعات التوليد الكهربائية ل مديرية صحة مدينة دمشق والمراكز الصحية والمشافي التابعة لها.
3-صيانة مراكز المنطقة الصحية الخامسة .
4 -  التعاون مع منظمة (ميديك)  للاشراف على حالة المراكز الصحية والمشافي العامة
اللجان المستقلة: 
1- رئيس لجنة التنسيق ل مديرية صحة مدينة دمشق والمراكز الصحية والمشافي التابعة لها
</t>
  </si>
  <si>
    <t xml:space="preserve">الانتهاء من اعداد دفتر شروط تنظيف مركز ابي ذر الغفاري 
متابعة طلبات الصيانة وسندات الإنجاز للمراكز الصحية والعمل على تنسيقها وارشفتها 
متابعة اعمال لجنة العقارات 
اعداد المراسلات والكتب بما يخص شؤون العاملن 
</t>
  </si>
  <si>
    <t xml:space="preserve">تنظيم واعداد المراسلات والكتب حسب توجيهات رئيس القسم 
المساهمة في متابعة التنسيق بين القسم الهندسي والمراكز والمناطق الصحية بما يخص الأعطال والاحتياجات 
المساهمة في متابعة التنسيق مع رؤساء المكاتب الهندسية في المشافي حسب توجيهات رئيس القسم 
المساهمة في متابعة وتوثيق عمليات الجرد في المناطق الصحية والمشافي التابعة لمديرية صحة دمشق 
</t>
  </si>
  <si>
    <t>اجازات إدارية</t>
  </si>
  <si>
    <t>تقدمت باجازات إدارية</t>
  </si>
  <si>
    <t>إجازة بلا اجر+ تقارير طبية</t>
  </si>
  <si>
    <t>تقدم باجازات  بلا اجر + تقارير طبية</t>
  </si>
  <si>
    <t xml:space="preserve">تقدمت باجازة بلا اجر </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</si>
</sst>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Arial"/>
      <family val="2"/>
      <scheme val="minor"/>
    </font>
    <font>
      <b/>
      <sz val="12"/>
      <color theme="1"/>
      <name val="Arial"/>
      <family val="2"/>
    </font>
    <font>
      <b/>
      <sz val="13"/>
      <color theme="1"/>
      <name val="Arial"/>
      <family val="2"/>
    </font>
    <font>
      <sz val="16"/>
      <color theme="1"/>
      <name val="Arial"/>
      <family val="2"/>
    </font>
    <font>
      <b/>
      <sz val="20"/>
      <color theme="1"/>
      <name val="Arial"/>
      <family val="2"/>
    </font>
    <font>
      <sz val="11"/>
      <color theme="1"/>
      <name val="Arial"/>
      <family val="2"/>
      <scheme val="minor"/>
    </font>
    <font>
      <sz val="10"/>
      <color indexed="8"/>
      <name val="Arial"/>
      <family val="2"/>
    </font>
    <font>
      <sz val="11"/>
      <color theme="1" tint="4.9989318521683403E-2"/>
      <name val="Arial"/>
      <family val="2"/>
      <scheme val="minor"/>
    </font>
    <font>
      <b/>
      <sz val="13"/>
      <color theme="1" tint="4.9989318521683403E-2"/>
      <name val="Arial"/>
      <family val="2"/>
    </font>
    <font>
      <b/>
      <sz val="16"/>
      <color theme="1"/>
      <name val="Arial"/>
      <family val="2"/>
    </font>
    <font>
      <b/>
      <sz val="12"/>
      <color theme="1" tint="4.9989318521683403E-2"/>
      <name val="Arial"/>
      <family val="2"/>
    </font>
    <font>
      <b/>
      <sz val="13"/>
      <color theme="1" tint="4.9989318521683403E-2"/>
      <name val="Arial"/>
      <family val="2"/>
      <scheme val="minor"/>
    </font>
    <font>
      <b/>
      <sz val="11"/>
      <color theme="1" tint="4.9989318521683403E-2"/>
      <name val="Arial"/>
      <family val="2"/>
    </font>
    <font>
      <b/>
      <sz val="11"/>
      <color theme="1" tint="4.9989318521683403E-2"/>
      <name val="Arial"/>
      <family val="2"/>
      <scheme val="minor"/>
    </font>
    <font>
      <b/>
      <sz val="12"/>
      <color rgb="FF000000"/>
      <name val="Arial"/>
      <family val="2"/>
    </font>
    <font>
      <b/>
      <sz val="12"/>
      <name val="Arial"/>
      <family val="2"/>
    </font>
    <font>
      <b/>
      <sz val="13"/>
      <color rgb="FF000000"/>
      <name val="Arial"/>
      <family val="2"/>
    </font>
    <font>
      <b/>
      <sz val="13"/>
      <name val="Arial"/>
      <family val="2"/>
    </font>
    <font>
      <b/>
      <sz val="14"/>
      <color theme="1"/>
      <name val="Arial"/>
      <family val="2"/>
    </font>
    <font>
      <b/>
      <sz val="11"/>
      <color theme="1"/>
      <name val="Arial"/>
      <family val="2"/>
      <scheme val="minor"/>
    </font>
    <font>
      <sz val="12"/>
      <color theme="1"/>
      <name val="Arial"/>
      <family val="2"/>
    </font>
    <font>
      <sz val="12"/>
      <color theme="1"/>
      <name val="Arial"/>
      <family val="2"/>
      <scheme val="minor"/>
    </font>
    <font>
      <sz val="13"/>
      <color theme="1"/>
      <name val="Arial"/>
      <family val="2"/>
    </font>
    <font>
      <sz val="11"/>
      <color theme="1"/>
      <name val="Arial"/>
      <family val="2"/>
    </font>
    <font>
      <sz val="10"/>
      <color theme="1"/>
      <name val="Arial"/>
      <family val="2"/>
    </font>
    <font>
      <sz val="14"/>
      <color theme="1"/>
      <name val="Arial"/>
      <family val="2"/>
    </font>
    <font>
      <sz val="13"/>
      <color theme="1"/>
      <name val="Arial"/>
      <family val="2"/>
      <scheme val="minor"/>
    </font>
    <font>
      <sz val="10"/>
      <color theme="1"/>
      <name val="Arial"/>
      <family val="2"/>
      <scheme val="minor"/>
    </font>
    <font>
      <sz val="14"/>
      <color theme="1"/>
      <name val="Arial"/>
      <family val="2"/>
      <scheme val="minor"/>
    </font>
    <font>
      <sz val="16"/>
      <color theme="1"/>
      <name val="Arial"/>
      <family val="2"/>
      <scheme val="minor"/>
    </font>
  </fonts>
  <fills count="9">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D5DCE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14999847407452621"/>
        <bgColor rgb="FFDEEAF6"/>
      </patternFill>
    </fill>
    <fill>
      <patternFill patternType="solid">
        <fgColor theme="0" tint="-0.14999847407452621"/>
        <bgColor rgb="FFBDD6EE"/>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s>
  <cellStyleXfs count="5">
    <xf numFmtId="0" fontId="0" fillId="0" borderId="0"/>
    <xf numFmtId="0" fontId="6" fillId="0" borderId="0"/>
    <xf numFmtId="0" fontId="5" fillId="0" borderId="0"/>
    <xf numFmtId="0" fontId="6" fillId="0" borderId="0"/>
    <xf numFmtId="0" fontId="5" fillId="0" borderId="0"/>
  </cellStyleXfs>
  <cellXfs count="163">
    <xf numFmtId="0" fontId="0" fillId="0" borderId="0" xfId="0"/>
    <xf numFmtId="0" fontId="2" fillId="2" borderId="1" xfId="0" applyFont="1" applyFill="1" applyBorder="1" applyAlignment="1">
      <alignment horizontal="center" vertical="center" wrapText="1" readingOrder="2"/>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readingOrder="2"/>
    </xf>
    <xf numFmtId="0" fontId="10" fillId="2" borderId="1" xfId="0" applyFont="1" applyFill="1" applyBorder="1" applyAlignment="1">
      <alignment horizontal="center" vertical="center" wrapText="1"/>
    </xf>
    <xf numFmtId="14" fontId="10" fillId="2" borderId="1"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xf>
    <xf numFmtId="0" fontId="12" fillId="2" borderId="1" xfId="0" applyFont="1" applyFill="1" applyBorder="1" applyAlignment="1">
      <alignment horizontal="center" vertical="center" wrapText="1" readingOrder="2"/>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0" fontId="10" fillId="2" borderId="1" xfId="1" applyFont="1" applyFill="1" applyBorder="1" applyAlignment="1">
      <alignment horizontal="center" vertical="center" wrapText="1"/>
    </xf>
    <xf numFmtId="14" fontId="10" fillId="2" borderId="1" xfId="1" applyNumberFormat="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4" fillId="3" borderId="1" xfId="0" applyFont="1" applyFill="1" applyBorder="1" applyAlignment="1">
      <alignment horizontal="center" vertical="center"/>
    </xf>
    <xf numFmtId="0" fontId="15" fillId="3" borderId="1" xfId="0" applyFont="1" applyFill="1" applyBorder="1" applyAlignment="1">
      <alignment horizontal="center" vertical="center" wrapText="1"/>
    </xf>
    <xf numFmtId="0" fontId="16" fillId="3" borderId="1" xfId="0" applyFont="1" applyFill="1" applyBorder="1" applyAlignment="1">
      <alignment horizontal="center" vertical="center"/>
    </xf>
    <xf numFmtId="0" fontId="16" fillId="3" borderId="1" xfId="0" applyFont="1" applyFill="1" applyBorder="1" applyAlignment="1">
      <alignment horizontal="center" vertical="center" wrapText="1"/>
    </xf>
    <xf numFmtId="9" fontId="16" fillId="3"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0" fontId="16" fillId="4" borderId="1" xfId="0" applyFont="1" applyFill="1" applyBorder="1" applyAlignment="1">
      <alignment horizontal="center" vertical="center"/>
    </xf>
    <xf numFmtId="0" fontId="16" fillId="4" borderId="1" xfId="0" applyFont="1" applyFill="1" applyBorder="1" applyAlignment="1">
      <alignment horizontal="center" vertical="center" wrapText="1"/>
    </xf>
    <xf numFmtId="9" fontId="16" fillId="4"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9" fontId="16" fillId="0"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xf>
    <xf numFmtId="0" fontId="17"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9" fontId="17" fillId="3" borderId="1" xfId="0" applyNumberFormat="1" applyFont="1" applyFill="1" applyBorder="1" applyAlignment="1">
      <alignment horizontal="center" vertical="center" wrapText="1"/>
    </xf>
    <xf numFmtId="0" fontId="15" fillId="4" borderId="1" xfId="0" applyFont="1" applyFill="1" applyBorder="1" applyAlignment="1">
      <alignment horizontal="center" vertical="center"/>
    </xf>
    <xf numFmtId="0" fontId="15" fillId="4" borderId="1" xfId="0" applyFont="1" applyFill="1" applyBorder="1" applyAlignment="1">
      <alignment horizontal="center" vertical="center" wrapText="1"/>
    </xf>
    <xf numFmtId="0" fontId="17"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9" fontId="17" fillId="4" borderId="1" xfId="0" applyNumberFormat="1" applyFont="1" applyFill="1" applyBorder="1" applyAlignment="1">
      <alignment horizontal="center" vertical="center" wrapText="1"/>
    </xf>
    <xf numFmtId="0" fontId="3" fillId="0" borderId="0" xfId="0" applyFont="1" applyAlignment="1">
      <alignment horizontal="center" vertical="center"/>
    </xf>
    <xf numFmtId="0" fontId="0" fillId="2" borderId="0" xfId="0" applyFill="1" applyAlignment="1">
      <alignment horizontal="center" vertical="center" wrapText="1"/>
    </xf>
    <xf numFmtId="0" fontId="7" fillId="2" borderId="0" xfId="0" applyFont="1" applyFill="1" applyAlignment="1">
      <alignment horizontal="center" vertical="center"/>
    </xf>
    <xf numFmtId="0" fontId="0" fillId="0" borderId="0" xfId="0" applyAlignment="1">
      <alignment horizontal="center" vertical="center"/>
    </xf>
    <xf numFmtId="0" fontId="18" fillId="0" borderId="1" xfId="0" applyFont="1" applyBorder="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vertical="center" readingOrder="2"/>
    </xf>
    <xf numFmtId="0" fontId="18" fillId="0" borderId="1" xfId="0" applyFont="1" applyBorder="1" applyAlignment="1">
      <alignment horizontal="center" vertical="center"/>
    </xf>
    <xf numFmtId="9" fontId="18" fillId="0" borderId="1" xfId="0" applyNumberFormat="1" applyFont="1" applyBorder="1" applyAlignment="1">
      <alignment horizontal="center" vertical="center"/>
    </xf>
    <xf numFmtId="0" fontId="19" fillId="0" borderId="0" xfId="0" applyFont="1" applyAlignment="1">
      <alignment horizontal="center" vertical="center"/>
    </xf>
    <xf numFmtId="0" fontId="20" fillId="0" borderId="1" xfId="0" applyFont="1" applyBorder="1" applyAlignment="1">
      <alignment vertical="center"/>
    </xf>
    <xf numFmtId="0" fontId="21" fillId="0" borderId="0" xfId="0" applyFont="1" applyAlignment="1">
      <alignment horizontal="right" vertical="center" wrapText="1" readingOrder="2"/>
    </xf>
    <xf numFmtId="0" fontId="21" fillId="0" borderId="0" xfId="0" applyFont="1" applyAlignment="1">
      <alignment horizontal="center" vertical="center" wrapText="1" readingOrder="2"/>
    </xf>
    <xf numFmtId="0" fontId="21" fillId="0" borderId="0" xfId="0" applyFont="1" applyAlignment="1">
      <alignment horizontal="center" vertical="center" wrapText="1"/>
    </xf>
    <xf numFmtId="0" fontId="21" fillId="0" borderId="0" xfId="0" applyFont="1" applyAlignment="1">
      <alignment vertical="center" wrapText="1"/>
    </xf>
    <xf numFmtId="0" fontId="21" fillId="0" borderId="0" xfId="0" applyFont="1" applyAlignment="1">
      <alignment vertical="center"/>
    </xf>
    <xf numFmtId="0" fontId="20" fillId="0" borderId="1" xfId="0" applyFont="1" applyBorder="1" applyAlignment="1">
      <alignment vertical="top"/>
    </xf>
    <xf numFmtId="0" fontId="22" fillId="0" borderId="1" xfId="0" applyFont="1" applyBorder="1" applyAlignment="1">
      <alignment vertical="top"/>
    </xf>
    <xf numFmtId="17" fontId="22" fillId="0" borderId="1" xfId="0" applyNumberFormat="1" applyFont="1" applyBorder="1" applyAlignment="1">
      <alignment vertical="top"/>
    </xf>
    <xf numFmtId="0" fontId="22" fillId="0" borderId="1" xfId="0" applyFont="1" applyBorder="1" applyAlignment="1">
      <alignment vertical="top" wrapText="1"/>
    </xf>
    <xf numFmtId="0" fontId="22" fillId="0" borderId="1" xfId="0" applyFont="1" applyBorder="1" applyAlignment="1">
      <alignment horizontal="center" vertical="top" wrapText="1"/>
    </xf>
    <xf numFmtId="9" fontId="22" fillId="0" borderId="1" xfId="0" applyNumberFormat="1" applyFont="1" applyBorder="1" applyAlignment="1">
      <alignment vertical="top"/>
    </xf>
    <xf numFmtId="0" fontId="20" fillId="0" borderId="1" xfId="0" applyFont="1" applyBorder="1" applyAlignment="1">
      <alignment vertical="top" wrapText="1"/>
    </xf>
    <xf numFmtId="14" fontId="22" fillId="0" borderId="1" xfId="0" applyNumberFormat="1" applyFont="1" applyBorder="1" applyAlignment="1">
      <alignment vertical="top" wrapText="1"/>
    </xf>
    <xf numFmtId="9" fontId="22" fillId="0" borderId="1" xfId="0" applyNumberFormat="1" applyFont="1" applyBorder="1" applyAlignment="1">
      <alignment vertical="top" wrapText="1"/>
    </xf>
    <xf numFmtId="0" fontId="0" fillId="0" borderId="0" xfId="0" applyAlignment="1">
      <alignment wrapText="1"/>
    </xf>
    <xf numFmtId="0" fontId="22" fillId="0" borderId="1" xfId="0" applyNumberFormat="1" applyFont="1" applyBorder="1" applyAlignment="1">
      <alignment vertical="top" wrapText="1"/>
    </xf>
    <xf numFmtId="14" fontId="22" fillId="0" borderId="1" xfId="0" applyNumberFormat="1" applyFont="1" applyBorder="1" applyAlignment="1">
      <alignment vertical="top"/>
    </xf>
    <xf numFmtId="0" fontId="22" fillId="0" borderId="1" xfId="0" applyFont="1" applyBorder="1" applyAlignment="1" applyProtection="1">
      <alignment vertical="top" wrapText="1" shrinkToFit="1"/>
      <protection locked="0"/>
    </xf>
    <xf numFmtId="0" fontId="0" fillId="0" borderId="0" xfId="0" applyAlignment="1">
      <alignment vertical="top" wrapText="1"/>
    </xf>
    <xf numFmtId="0" fontId="24" fillId="0" borderId="1" xfId="0" applyFont="1" applyBorder="1" applyAlignment="1">
      <alignment vertical="top"/>
    </xf>
    <xf numFmtId="0" fontId="25" fillId="0" borderId="1" xfId="0" applyFont="1" applyBorder="1" applyAlignment="1">
      <alignment vertical="top" wrapText="1"/>
    </xf>
    <xf numFmtId="0" fontId="20" fillId="0" borderId="1" xfId="0" applyFont="1" applyBorder="1" applyAlignment="1">
      <alignment horizontal="center" vertical="top"/>
    </xf>
    <xf numFmtId="0" fontId="22" fillId="0" borderId="1" xfId="0" applyFont="1" applyBorder="1" applyAlignment="1">
      <alignment horizontal="center" vertical="top"/>
    </xf>
    <xf numFmtId="0" fontId="22" fillId="0" borderId="1" xfId="0" applyFont="1" applyBorder="1" applyAlignment="1">
      <alignment horizontal="right" vertical="top" wrapText="1"/>
    </xf>
    <xf numFmtId="0" fontId="22" fillId="0" borderId="1" xfId="0" applyFont="1" applyBorder="1" applyAlignment="1">
      <alignment vertical="top" wrapText="1" readingOrder="2"/>
    </xf>
    <xf numFmtId="0" fontId="22" fillId="0" borderId="1" xfId="0" applyFont="1" applyBorder="1" applyAlignment="1">
      <alignment horizontal="left" vertical="top"/>
    </xf>
    <xf numFmtId="0" fontId="20" fillId="0" borderId="1" xfId="0" applyFont="1" applyBorder="1" applyAlignment="1">
      <alignment vertical="center" wrapText="1"/>
    </xf>
    <xf numFmtId="0" fontId="20" fillId="0" borderId="1" xfId="0" applyFont="1" applyBorder="1"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9" fontId="22" fillId="0" borderId="1" xfId="0" applyNumberFormat="1" applyFont="1" applyBorder="1" applyAlignment="1">
      <alignment horizontal="center" vertical="center"/>
    </xf>
    <xf numFmtId="0" fontId="22" fillId="0" borderId="1" xfId="0" applyFont="1" applyBorder="1" applyAlignment="1">
      <alignment horizontal="right" vertical="center" wrapText="1" readingOrder="2"/>
    </xf>
    <xf numFmtId="14" fontId="22" fillId="0" borderId="1" xfId="0" applyNumberFormat="1" applyFont="1" applyBorder="1" applyAlignment="1">
      <alignment horizontal="center" vertical="center"/>
    </xf>
    <xf numFmtId="1" fontId="22" fillId="0" borderId="1" xfId="0" applyNumberFormat="1" applyFont="1" applyBorder="1" applyAlignment="1">
      <alignment horizontal="center" vertical="center"/>
    </xf>
    <xf numFmtId="0" fontId="20" fillId="0" borderId="1" xfId="0" applyFont="1" applyBorder="1" applyAlignment="1">
      <alignment horizontal="center" vertical="center" wrapText="1"/>
    </xf>
    <xf numFmtId="0" fontId="0" fillId="0" borderId="7" xfId="0" applyBorder="1"/>
    <xf numFmtId="0" fontId="0" fillId="0" borderId="8" xfId="0" applyBorder="1" applyAlignment="1">
      <alignment horizontal="center" vertical="center" wrapText="1"/>
    </xf>
    <xf numFmtId="0" fontId="26" fillId="5" borderId="8" xfId="0" applyFont="1" applyFill="1" applyBorder="1" applyAlignment="1">
      <alignment horizontal="center" vertical="center" wrapText="1"/>
    </xf>
    <xf numFmtId="0" fontId="26" fillId="0" borderId="8" xfId="0" applyFont="1" applyBorder="1" applyAlignment="1">
      <alignment horizontal="center" vertical="center" wrapText="1"/>
    </xf>
    <xf numFmtId="9" fontId="26" fillId="0" borderId="8" xfId="0" applyNumberFormat="1" applyFont="1" applyBorder="1" applyAlignment="1">
      <alignment horizontal="center" vertical="center" wrapText="1"/>
    </xf>
    <xf numFmtId="0" fontId="26" fillId="0" borderId="9" xfId="0" applyFont="1" applyBorder="1" applyAlignment="1">
      <alignment horizontal="center" vertical="center" wrapText="1"/>
    </xf>
    <xf numFmtId="0" fontId="0" fillId="0" borderId="0" xfId="0" applyAlignment="1">
      <alignment vertical="center" wrapText="1"/>
    </xf>
    <xf numFmtId="0" fontId="26" fillId="0" borderId="8" xfId="0" applyFont="1" applyFill="1" applyBorder="1" applyAlignment="1">
      <alignment horizontal="center" vertical="center" wrapText="1"/>
    </xf>
    <xf numFmtId="0" fontId="27" fillId="0" borderId="8" xfId="0" applyFont="1" applyBorder="1" applyAlignment="1">
      <alignment horizontal="center" vertical="center" wrapText="1"/>
    </xf>
    <xf numFmtId="0" fontId="0" fillId="0" borderId="8" xfId="0" applyBorder="1" applyAlignment="1">
      <alignment horizontal="center"/>
    </xf>
    <xf numFmtId="0" fontId="0" fillId="0" borderId="8" xfId="0" applyFont="1" applyBorder="1" applyAlignment="1">
      <alignment horizontal="center" vertical="center" wrapText="1"/>
    </xf>
    <xf numFmtId="0" fontId="26" fillId="5" borderId="8" xfId="0" applyFont="1" applyFill="1" applyBorder="1" applyAlignment="1">
      <alignment horizontal="center"/>
    </xf>
    <xf numFmtId="0" fontId="26" fillId="0" borderId="8" xfId="0" applyFont="1" applyBorder="1" applyAlignment="1">
      <alignment horizontal="center"/>
    </xf>
    <xf numFmtId="9" fontId="26" fillId="0" borderId="8" xfId="0" applyNumberFormat="1" applyFont="1" applyBorder="1" applyAlignment="1">
      <alignment horizontal="center"/>
    </xf>
    <xf numFmtId="0" fontId="26" fillId="0" borderId="9" xfId="0" applyFont="1" applyBorder="1" applyAlignment="1">
      <alignment horizontal="center"/>
    </xf>
    <xf numFmtId="0" fontId="27" fillId="0" borderId="8" xfId="0" applyFont="1" applyBorder="1"/>
    <xf numFmtId="0" fontId="0" fillId="0" borderId="8" xfId="0" applyFont="1" applyBorder="1" applyAlignment="1">
      <alignment horizontal="center"/>
    </xf>
    <xf numFmtId="0" fontId="26" fillId="0" borderId="8" xfId="0" applyFont="1" applyBorder="1"/>
    <xf numFmtId="0" fontId="26" fillId="0" borderId="9" xfId="0" applyFont="1" applyBorder="1"/>
    <xf numFmtId="0" fontId="28" fillId="0" borderId="0" xfId="0" applyFont="1" applyAlignment="1">
      <alignment wrapText="1"/>
    </xf>
    <xf numFmtId="0" fontId="22" fillId="0" borderId="5" xfId="0" applyFont="1" applyFill="1" applyBorder="1" applyAlignment="1">
      <alignment vertical="top"/>
    </xf>
    <xf numFmtId="0" fontId="22" fillId="0" borderId="0" xfId="0" applyFont="1" applyFill="1" applyBorder="1" applyAlignment="1">
      <alignment vertical="top" wrapText="1"/>
    </xf>
    <xf numFmtId="9" fontId="0" fillId="0" borderId="0" xfId="0" applyNumberFormat="1"/>
    <xf numFmtId="0" fontId="20" fillId="0" borderId="6" xfId="0" applyFont="1" applyBorder="1" applyAlignment="1">
      <alignment vertical="top"/>
    </xf>
    <xf numFmtId="0" fontId="22" fillId="0" borderId="6" xfId="0" applyFont="1" applyBorder="1" applyAlignment="1">
      <alignment vertical="top"/>
    </xf>
    <xf numFmtId="0" fontId="22" fillId="0" borderId="6" xfId="0" applyFont="1" applyBorder="1" applyAlignment="1">
      <alignment vertical="top" wrapText="1"/>
    </xf>
    <xf numFmtId="9" fontId="22" fillId="0" borderId="6" xfId="0" applyNumberFormat="1" applyFont="1" applyBorder="1" applyAlignment="1">
      <alignment vertical="top"/>
    </xf>
    <xf numFmtId="0" fontId="0" fillId="0" borderId="1" xfId="0" applyBorder="1"/>
    <xf numFmtId="0" fontId="3" fillId="0" borderId="1" xfId="0" applyFont="1" applyBorder="1" applyAlignment="1">
      <alignment horizontal="center" vertical="center"/>
    </xf>
    <xf numFmtId="0" fontId="29" fillId="0" borderId="1" xfId="0" applyFont="1" applyBorder="1" applyAlignment="1">
      <alignment horizontal="center" vertical="center" wrapText="1"/>
    </xf>
    <xf numFmtId="0" fontId="3" fillId="0" borderId="1" xfId="0" applyFont="1" applyBorder="1" applyAlignment="1">
      <alignment horizontal="center" vertical="center" wrapText="1"/>
    </xf>
    <xf numFmtId="9" fontId="3" fillId="0" borderId="1" xfId="0" applyNumberFormat="1" applyFont="1" applyBorder="1" applyAlignment="1">
      <alignment horizontal="center" vertical="center"/>
    </xf>
    <xf numFmtId="0" fontId="26" fillId="0" borderId="1" xfId="0" applyFont="1" applyBorder="1" applyAlignment="1">
      <alignment horizontal="center" vertical="center" wrapText="1"/>
    </xf>
    <xf numFmtId="0" fontId="29" fillId="0" borderId="1" xfId="0" applyFont="1" applyBorder="1" applyAlignment="1">
      <alignment horizontal="center" vertical="center"/>
    </xf>
    <xf numFmtId="0" fontId="26" fillId="0" borderId="1" xfId="0" applyFont="1" applyBorder="1" applyAlignment="1">
      <alignment horizontal="center" vertical="center"/>
    </xf>
    <xf numFmtId="0" fontId="29" fillId="0" borderId="0" xfId="0" applyFont="1" applyAlignment="1">
      <alignment horizontal="center" vertical="center"/>
    </xf>
    <xf numFmtId="0" fontId="29" fillId="0" borderId="5" xfId="0" applyFont="1" applyBorder="1" applyAlignment="1">
      <alignment horizontal="center"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0" fontId="10" fillId="6" borderId="1" xfId="0" applyFont="1" applyFill="1" applyBorder="1" applyAlignment="1">
      <alignment horizontal="center" vertical="center" wrapText="1"/>
    </xf>
    <xf numFmtId="0" fontId="10" fillId="6" borderId="1" xfId="1" applyFont="1" applyFill="1" applyBorder="1" applyAlignment="1">
      <alignment horizontal="center" vertical="center" wrapText="1"/>
    </xf>
    <xf numFmtId="14" fontId="10" fillId="6" borderId="1" xfId="1" applyNumberFormat="1" applyFont="1" applyFill="1" applyBorder="1" applyAlignment="1">
      <alignment horizontal="center" vertical="center" wrapText="1"/>
    </xf>
    <xf numFmtId="49" fontId="10" fillId="6" borderId="1" xfId="1" applyNumberFormat="1" applyFont="1" applyFill="1" applyBorder="1" applyAlignment="1">
      <alignment horizontal="center" vertical="center" wrapText="1"/>
    </xf>
    <xf numFmtId="0" fontId="8"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9" fontId="8" fillId="6" borderId="1" xfId="0" applyNumberFormat="1" applyFont="1" applyFill="1" applyBorder="1" applyAlignment="1">
      <alignment horizontal="center" vertical="center"/>
    </xf>
    <xf numFmtId="0" fontId="7" fillId="6" borderId="0" xfId="0" applyFont="1" applyFill="1" applyAlignment="1">
      <alignment horizontal="center" vertical="center"/>
    </xf>
    <xf numFmtId="0" fontId="23" fillId="6" borderId="0" xfId="0" applyFont="1" applyFill="1" applyAlignment="1">
      <alignment horizontal="right" vertical="center" wrapText="1" readingOrder="2"/>
    </xf>
    <xf numFmtId="0" fontId="10" fillId="6" borderId="1" xfId="0" applyFont="1" applyFill="1" applyBorder="1" applyAlignment="1">
      <alignment horizontal="center" vertical="center"/>
    </xf>
    <xf numFmtId="49" fontId="10" fillId="6" borderId="1" xfId="0" applyNumberFormat="1" applyFont="1" applyFill="1" applyBorder="1" applyAlignment="1">
      <alignment horizontal="center" vertical="center" wrapText="1"/>
    </xf>
    <xf numFmtId="0" fontId="13" fillId="6" borderId="1" xfId="0" applyFont="1" applyFill="1" applyBorder="1" applyAlignment="1">
      <alignment horizontal="center" vertical="center"/>
    </xf>
    <xf numFmtId="14" fontId="10" fillId="6" borderId="1" xfId="0" applyNumberFormat="1" applyFont="1" applyFill="1" applyBorder="1" applyAlignment="1">
      <alignment horizontal="center" vertical="center" wrapText="1"/>
    </xf>
    <xf numFmtId="0" fontId="11" fillId="6" borderId="1" xfId="0" applyFont="1" applyFill="1" applyBorder="1" applyAlignment="1">
      <alignment horizontal="center" vertical="center"/>
    </xf>
    <xf numFmtId="49" fontId="10" fillId="7" borderId="1" xfId="0" applyNumberFormat="1" applyFont="1" applyFill="1" applyBorder="1" applyAlignment="1">
      <alignment horizontal="center" vertical="center"/>
    </xf>
    <xf numFmtId="49" fontId="10" fillId="7"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xf>
    <xf numFmtId="0" fontId="10" fillId="6" borderId="1" xfId="0" applyFont="1" applyFill="1" applyBorder="1" applyAlignment="1">
      <alignment horizontal="center" vertical="center" wrapText="1" readingOrder="2"/>
    </xf>
    <xf numFmtId="0" fontId="10" fillId="6" borderId="1" xfId="3" applyFont="1" applyFill="1" applyBorder="1" applyAlignment="1">
      <alignment horizontal="center" vertical="center" wrapText="1"/>
    </xf>
    <xf numFmtId="0" fontId="11" fillId="6" borderId="1" xfId="0" applyFont="1" applyFill="1" applyBorder="1" applyAlignment="1">
      <alignment horizontal="center" vertical="center" wrapText="1"/>
    </xf>
    <xf numFmtId="0" fontId="7" fillId="6" borderId="0" xfId="0" applyFont="1" applyFill="1" applyAlignment="1">
      <alignment horizontal="center" vertical="center" wrapText="1"/>
    </xf>
    <xf numFmtId="0" fontId="12" fillId="6" borderId="1" xfId="0" applyFont="1" applyFill="1" applyBorder="1" applyAlignment="1">
      <alignment horizontal="center" vertical="center" wrapText="1" readingOrder="2"/>
    </xf>
    <xf numFmtId="14" fontId="10" fillId="6" borderId="1" xfId="0" applyNumberFormat="1" applyFont="1" applyFill="1" applyBorder="1" applyAlignment="1">
      <alignment horizontal="center" vertical="center"/>
    </xf>
    <xf numFmtId="0" fontId="10" fillId="6" borderId="1" xfId="2" applyFont="1" applyFill="1" applyBorder="1" applyAlignment="1">
      <alignment horizontal="center" vertical="center" wrapText="1" readingOrder="2"/>
    </xf>
    <xf numFmtId="14" fontId="10" fillId="6" borderId="1" xfId="4" applyNumberFormat="1" applyFont="1" applyFill="1" applyBorder="1" applyAlignment="1">
      <alignment horizontal="center" vertical="center" wrapText="1" readingOrder="2"/>
    </xf>
    <xf numFmtId="0" fontId="8" fillId="6" borderId="1" xfId="0" applyFont="1" applyFill="1" applyBorder="1" applyAlignment="1">
      <alignment horizontal="center" vertical="center" wrapText="1"/>
    </xf>
    <xf numFmtId="49" fontId="10" fillId="8" borderId="1" xfId="0" applyNumberFormat="1"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8" fillId="2" borderId="1" xfId="0" applyFont="1" applyFill="1" applyBorder="1" applyAlignment="1">
      <alignment horizontal="center" vertical="center" wrapText="1" readingOrder="2"/>
    </xf>
    <xf numFmtId="0" fontId="8" fillId="2" borderId="1" xfId="0" applyFont="1" applyFill="1" applyBorder="1" applyAlignment="1">
      <alignment horizontal="center" vertical="center" wrapText="1"/>
    </xf>
    <xf numFmtId="0" fontId="7" fillId="2" borderId="0" xfId="0" applyFont="1" applyFill="1" applyAlignment="1">
      <alignment horizontal="center" vertical="center" wrapText="1"/>
    </xf>
  </cellXfs>
  <cellStyles count="5">
    <cellStyle name="Normal" xfId="0" builtinId="0"/>
    <cellStyle name="Normal 4" xfId="2"/>
    <cellStyle name="Normal 5" xfId="4"/>
    <cellStyle name="Normal_ورقة1" xfId="3"/>
    <cellStyle name="Normal_ورقة2" xfId="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80;&#1583;&#1608;&#1604;%20&#1576;&#1610;&#1575;&#1606;&#1575;&#1578;%20&#1605;&#1608;&#1592;&#1601;&#1610;%20&#1575;&#1604;&#1605;&#1603;&#1575;&#1578;&#1576;%20&#1575;&#1604;&#1607;&#1606;&#1583;&#1587;&#1610;&#157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5">
          <cell r="M5" t="str">
            <v>مناوبات مسائي</v>
          </cell>
        </row>
        <row r="6">
          <cell r="I6" t="str">
            <v>فني صيانة تجهيزات طبية</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8"/>
  <sheetViews>
    <sheetView tabSelected="1" zoomScale="80" zoomScaleNormal="80" workbookViewId="0">
      <pane xSplit="3" ySplit="1" topLeftCell="H47" activePane="bottomRight" state="frozen"/>
      <selection pane="topRight" activeCell="D1" sqref="D1"/>
      <selection pane="bottomLeft" activeCell="A2" sqref="A2"/>
      <selection pane="bottomRight" activeCell="L18" sqref="L18"/>
    </sheetView>
  </sheetViews>
  <sheetFormatPr defaultColWidth="8.75" defaultRowHeight="14.25" x14ac:dyDescent="0.2"/>
  <cols>
    <col min="1" max="1" width="9.125" style="48" customWidth="1"/>
    <col min="2" max="2" width="15.625" style="48" customWidth="1"/>
    <col min="3" max="3" width="12.125" style="46" bestFit="1" customWidth="1"/>
    <col min="4" max="4" width="7.5" style="46" customWidth="1"/>
    <col min="5" max="5" width="14.625" style="46" customWidth="1"/>
    <col min="6" max="6" width="11.125" style="49" bestFit="1" customWidth="1"/>
    <col min="7" max="7" width="14.5" style="46" customWidth="1"/>
    <col min="8" max="8" width="6.75" style="46" bestFit="1" customWidth="1"/>
    <col min="9" max="9" width="12.375" style="46" customWidth="1"/>
    <col min="10" max="10" width="11.75" style="46" customWidth="1"/>
    <col min="11" max="11" width="14.625" style="46" customWidth="1"/>
    <col min="12" max="12" width="11.5" style="46" customWidth="1"/>
    <col min="13" max="13" width="12" style="46" customWidth="1"/>
    <col min="14" max="14" width="10.75" style="46" customWidth="1"/>
    <col min="15" max="15" width="27.125" style="46" customWidth="1"/>
    <col min="16" max="16" width="95.25" style="50" bestFit="1" customWidth="1"/>
    <col min="17" max="17" width="30.625" style="46" customWidth="1"/>
    <col min="18" max="18" width="19.25" style="46" customWidth="1"/>
    <col min="19" max="20" width="17.875" style="46" customWidth="1"/>
    <col min="21" max="21" width="13.75" style="46" customWidth="1"/>
    <col min="22" max="16384" width="8.75" style="46"/>
  </cols>
  <sheetData>
    <row r="1" spans="1:24" s="43" customFormat="1" ht="54.6" customHeight="1" x14ac:dyDescent="0.2">
      <c r="A1" s="157" t="s">
        <v>170</v>
      </c>
      <c r="B1" s="158"/>
      <c r="C1" s="158"/>
      <c r="D1" s="158"/>
      <c r="E1" s="158"/>
      <c r="F1" s="158"/>
      <c r="G1" s="158"/>
      <c r="H1" s="158"/>
      <c r="I1" s="158"/>
      <c r="J1" s="158"/>
      <c r="K1" s="159"/>
      <c r="L1" s="5"/>
      <c r="M1" s="5"/>
      <c r="N1" s="5"/>
      <c r="O1" s="5"/>
      <c r="P1" s="6"/>
      <c r="Q1" s="5"/>
      <c r="R1" s="5"/>
      <c r="S1" s="5"/>
      <c r="T1" s="5"/>
      <c r="U1" s="5"/>
    </row>
    <row r="2" spans="1:24" s="44" customFormat="1" ht="76.150000000000006" customHeight="1" x14ac:dyDescent="0.2">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4" s="45" customFormat="1" ht="31.5" x14ac:dyDescent="0.2">
      <c r="A3" s="7" t="s">
        <v>169</v>
      </c>
      <c r="B3" s="7" t="s">
        <v>168</v>
      </c>
      <c r="C3" s="7" t="s">
        <v>55</v>
      </c>
      <c r="D3" s="7" t="s">
        <v>97</v>
      </c>
      <c r="E3" s="8">
        <v>27561</v>
      </c>
      <c r="F3" s="9">
        <v>2007</v>
      </c>
      <c r="G3" s="7" t="s">
        <v>112</v>
      </c>
      <c r="H3" s="10" t="s">
        <v>171</v>
      </c>
      <c r="I3" s="7" t="s">
        <v>112</v>
      </c>
      <c r="J3" s="7" t="s">
        <v>12</v>
      </c>
      <c r="K3" s="7" t="s">
        <v>155</v>
      </c>
      <c r="L3" s="10"/>
      <c r="M3" s="7" t="s">
        <v>15</v>
      </c>
      <c r="N3" s="7" t="s">
        <v>158</v>
      </c>
      <c r="O3" s="7" t="s">
        <v>11</v>
      </c>
      <c r="P3" s="11" t="s">
        <v>11</v>
      </c>
      <c r="Q3" s="12"/>
      <c r="R3" s="12"/>
      <c r="S3" s="13"/>
      <c r="T3" s="12"/>
      <c r="U3" s="13"/>
    </row>
    <row r="4" spans="1:24" s="137" customFormat="1" ht="145.15" customHeight="1" x14ac:dyDescent="0.2">
      <c r="A4" s="130" t="s">
        <v>169</v>
      </c>
      <c r="B4" s="130" t="s">
        <v>168</v>
      </c>
      <c r="C4" s="131" t="s">
        <v>24</v>
      </c>
      <c r="D4" s="131" t="s">
        <v>70</v>
      </c>
      <c r="E4" s="132">
        <v>29302</v>
      </c>
      <c r="F4" s="133">
        <v>2008</v>
      </c>
      <c r="G4" s="131" t="s">
        <v>109</v>
      </c>
      <c r="H4" s="134" t="s">
        <v>171</v>
      </c>
      <c r="I4" s="131" t="s">
        <v>135</v>
      </c>
      <c r="J4" s="131" t="s">
        <v>12</v>
      </c>
      <c r="K4" s="131" t="s">
        <v>152</v>
      </c>
      <c r="L4" s="134"/>
      <c r="M4" s="130" t="s">
        <v>15</v>
      </c>
      <c r="N4" s="131" t="s">
        <v>158</v>
      </c>
      <c r="O4" s="131" t="s">
        <v>161</v>
      </c>
      <c r="P4" s="138" t="s">
        <v>1041</v>
      </c>
      <c r="Q4" s="136">
        <v>1</v>
      </c>
      <c r="R4" s="136">
        <v>1</v>
      </c>
      <c r="S4" s="134" t="s">
        <v>176</v>
      </c>
      <c r="T4" s="136">
        <v>0.5</v>
      </c>
      <c r="U4" s="134"/>
    </row>
    <row r="5" spans="1:24" s="137" customFormat="1" ht="47.25" x14ac:dyDescent="0.2">
      <c r="A5" s="130" t="s">
        <v>169</v>
      </c>
      <c r="B5" s="130" t="s">
        <v>168</v>
      </c>
      <c r="C5" s="131" t="s">
        <v>25</v>
      </c>
      <c r="D5" s="131" t="s">
        <v>71</v>
      </c>
      <c r="E5" s="132">
        <v>31577</v>
      </c>
      <c r="F5" s="133">
        <v>2007</v>
      </c>
      <c r="G5" s="131" t="s">
        <v>110</v>
      </c>
      <c r="H5" s="134" t="s">
        <v>171</v>
      </c>
      <c r="I5" s="131" t="s">
        <v>136</v>
      </c>
      <c r="J5" s="131" t="s">
        <v>12</v>
      </c>
      <c r="K5" s="131" t="s">
        <v>152</v>
      </c>
      <c r="L5" s="134"/>
      <c r="M5" s="130" t="s">
        <v>15</v>
      </c>
      <c r="N5" s="131" t="s">
        <v>158</v>
      </c>
      <c r="O5" s="131" t="s">
        <v>161</v>
      </c>
      <c r="P5" s="135" t="s">
        <v>1042</v>
      </c>
      <c r="Q5" s="136">
        <v>1</v>
      </c>
      <c r="R5" s="136">
        <v>1</v>
      </c>
      <c r="S5" s="134" t="s">
        <v>177</v>
      </c>
      <c r="T5" s="136">
        <v>0.5</v>
      </c>
      <c r="U5" s="134"/>
    </row>
    <row r="6" spans="1:24" s="45" customFormat="1" ht="47.25" x14ac:dyDescent="0.2">
      <c r="A6" s="7" t="s">
        <v>169</v>
      </c>
      <c r="B6" s="7" t="s">
        <v>168</v>
      </c>
      <c r="C6" s="14" t="s">
        <v>26</v>
      </c>
      <c r="D6" s="14" t="s">
        <v>72</v>
      </c>
      <c r="E6" s="15">
        <v>29960</v>
      </c>
      <c r="F6" s="16">
        <v>2007</v>
      </c>
      <c r="G6" s="14" t="s">
        <v>110</v>
      </c>
      <c r="H6" s="13" t="s">
        <v>174</v>
      </c>
      <c r="I6" s="14" t="s">
        <v>136</v>
      </c>
      <c r="J6" s="14" t="s">
        <v>12</v>
      </c>
      <c r="K6" s="14" t="s">
        <v>152</v>
      </c>
      <c r="L6" s="13"/>
      <c r="M6" s="7" t="s">
        <v>15</v>
      </c>
      <c r="N6" s="14" t="s">
        <v>158</v>
      </c>
      <c r="O6" s="14" t="s">
        <v>161</v>
      </c>
      <c r="P6" s="17" t="s">
        <v>161</v>
      </c>
      <c r="Q6" s="12">
        <v>1</v>
      </c>
      <c r="R6" s="12">
        <v>1</v>
      </c>
      <c r="S6" s="13" t="s">
        <v>178</v>
      </c>
      <c r="T6" s="12">
        <v>0.5</v>
      </c>
      <c r="U6" s="13"/>
    </row>
    <row r="7" spans="1:24" s="137" customFormat="1" ht="90" x14ac:dyDescent="0.2">
      <c r="A7" s="130" t="s">
        <v>169</v>
      </c>
      <c r="B7" s="130" t="s">
        <v>168</v>
      </c>
      <c r="C7" s="131" t="s">
        <v>27</v>
      </c>
      <c r="D7" s="131" t="s">
        <v>73</v>
      </c>
      <c r="E7" s="132">
        <v>28130</v>
      </c>
      <c r="F7" s="133">
        <v>2011</v>
      </c>
      <c r="G7" s="131" t="s">
        <v>111</v>
      </c>
      <c r="H7" s="134" t="s">
        <v>171</v>
      </c>
      <c r="I7" s="131" t="s">
        <v>111</v>
      </c>
      <c r="J7" s="131" t="s">
        <v>12</v>
      </c>
      <c r="K7" s="131" t="s">
        <v>152</v>
      </c>
      <c r="L7" s="155" t="s">
        <v>175</v>
      </c>
      <c r="M7" s="130" t="s">
        <v>15</v>
      </c>
      <c r="N7" s="131" t="s">
        <v>158</v>
      </c>
      <c r="O7" s="130" t="s">
        <v>161</v>
      </c>
      <c r="P7" s="135" t="s">
        <v>1067</v>
      </c>
      <c r="Q7" s="136">
        <v>1</v>
      </c>
      <c r="R7" s="136">
        <v>1</v>
      </c>
      <c r="S7" s="134" t="s">
        <v>179</v>
      </c>
      <c r="T7" s="136">
        <v>0.5</v>
      </c>
      <c r="U7" s="134"/>
    </row>
    <row r="8" spans="1:24" s="137" customFormat="1" ht="165" x14ac:dyDescent="0.2">
      <c r="A8" s="130" t="s">
        <v>169</v>
      </c>
      <c r="B8" s="130" t="s">
        <v>168</v>
      </c>
      <c r="C8" s="131" t="s">
        <v>28</v>
      </c>
      <c r="D8" s="131" t="s">
        <v>74</v>
      </c>
      <c r="E8" s="132">
        <v>29089</v>
      </c>
      <c r="F8" s="133">
        <v>2006</v>
      </c>
      <c r="G8" s="131" t="s">
        <v>112</v>
      </c>
      <c r="H8" s="134" t="s">
        <v>171</v>
      </c>
      <c r="I8" s="131" t="s">
        <v>112</v>
      </c>
      <c r="J8" s="131" t="s">
        <v>12</v>
      </c>
      <c r="K8" s="131" t="s">
        <v>152</v>
      </c>
      <c r="L8" s="134"/>
      <c r="M8" s="130" t="s">
        <v>15</v>
      </c>
      <c r="N8" s="131" t="s">
        <v>158</v>
      </c>
      <c r="O8" s="130" t="s">
        <v>161</v>
      </c>
      <c r="P8" s="135" t="s">
        <v>1060</v>
      </c>
      <c r="Q8" s="136">
        <v>1</v>
      </c>
      <c r="R8" s="136">
        <v>0.8</v>
      </c>
      <c r="S8" s="134" t="s">
        <v>180</v>
      </c>
      <c r="T8" s="136">
        <v>0.5</v>
      </c>
      <c r="U8" s="134"/>
    </row>
    <row r="9" spans="1:24" s="137" customFormat="1" ht="45" x14ac:dyDescent="0.2">
      <c r="A9" s="130" t="s">
        <v>169</v>
      </c>
      <c r="B9" s="130" t="s">
        <v>168</v>
      </c>
      <c r="C9" s="131" t="s">
        <v>29</v>
      </c>
      <c r="D9" s="131" t="s">
        <v>75</v>
      </c>
      <c r="E9" s="132">
        <v>29221</v>
      </c>
      <c r="F9" s="133">
        <v>2007</v>
      </c>
      <c r="G9" s="131" t="s">
        <v>113</v>
      </c>
      <c r="H9" s="134" t="s">
        <v>171</v>
      </c>
      <c r="I9" s="131" t="s">
        <v>137</v>
      </c>
      <c r="J9" s="131" t="s">
        <v>12</v>
      </c>
      <c r="K9" s="131" t="s">
        <v>152</v>
      </c>
      <c r="L9" s="134"/>
      <c r="M9" s="130" t="s">
        <v>15</v>
      </c>
      <c r="N9" s="131" t="s">
        <v>158</v>
      </c>
      <c r="O9" s="130" t="s">
        <v>161</v>
      </c>
      <c r="P9" s="135" t="s">
        <v>1070</v>
      </c>
      <c r="Q9" s="136">
        <v>1</v>
      </c>
      <c r="R9" s="136">
        <v>1</v>
      </c>
      <c r="S9" s="134" t="s">
        <v>180</v>
      </c>
      <c r="T9" s="136">
        <v>0.5</v>
      </c>
      <c r="U9" s="134"/>
    </row>
    <row r="10" spans="1:24" s="137" customFormat="1" ht="72" customHeight="1" x14ac:dyDescent="0.2">
      <c r="A10" s="130" t="s">
        <v>169</v>
      </c>
      <c r="B10" s="130" t="s">
        <v>168</v>
      </c>
      <c r="C10" s="131" t="s">
        <v>30</v>
      </c>
      <c r="D10" s="131" t="s">
        <v>73</v>
      </c>
      <c r="E10" s="132">
        <v>26728</v>
      </c>
      <c r="F10" s="133">
        <v>2007</v>
      </c>
      <c r="G10" s="131" t="s">
        <v>114</v>
      </c>
      <c r="H10" s="134" t="s">
        <v>171</v>
      </c>
      <c r="I10" s="131" t="s">
        <v>114</v>
      </c>
      <c r="J10" s="131" t="s">
        <v>12</v>
      </c>
      <c r="K10" s="131" t="s">
        <v>153</v>
      </c>
      <c r="L10" s="134"/>
      <c r="M10" s="130" t="s">
        <v>15</v>
      </c>
      <c r="N10" s="131" t="s">
        <v>158</v>
      </c>
      <c r="O10" s="130" t="s">
        <v>161</v>
      </c>
      <c r="P10" s="135" t="s">
        <v>1063</v>
      </c>
      <c r="Q10" s="136">
        <v>1</v>
      </c>
      <c r="R10" s="136">
        <v>1</v>
      </c>
      <c r="S10" s="134" t="s">
        <v>181</v>
      </c>
      <c r="T10" s="136">
        <v>0.5</v>
      </c>
      <c r="U10" s="134"/>
    </row>
    <row r="11" spans="1:24" s="137" customFormat="1" ht="192" customHeight="1" x14ac:dyDescent="0.2">
      <c r="A11" s="130" t="s">
        <v>169</v>
      </c>
      <c r="B11" s="130" t="s">
        <v>168</v>
      </c>
      <c r="C11" s="131" t="s">
        <v>31</v>
      </c>
      <c r="D11" s="131" t="s">
        <v>73</v>
      </c>
      <c r="E11" s="132">
        <v>26997</v>
      </c>
      <c r="F11" s="133">
        <v>2000</v>
      </c>
      <c r="G11" s="131" t="s">
        <v>114</v>
      </c>
      <c r="H11" s="134" t="s">
        <v>171</v>
      </c>
      <c r="I11" s="131" t="s">
        <v>114</v>
      </c>
      <c r="J11" s="131" t="s">
        <v>12</v>
      </c>
      <c r="K11" s="131" t="s">
        <v>152</v>
      </c>
      <c r="L11" s="134"/>
      <c r="M11" s="130" t="s">
        <v>15</v>
      </c>
      <c r="N11" s="131" t="s">
        <v>158</v>
      </c>
      <c r="O11" s="130" t="s">
        <v>161</v>
      </c>
      <c r="P11" s="151" t="s">
        <v>1053</v>
      </c>
      <c r="Q11" s="136">
        <v>1</v>
      </c>
      <c r="R11" s="136">
        <v>1</v>
      </c>
      <c r="S11" s="134" t="s">
        <v>181</v>
      </c>
      <c r="T11" s="136">
        <v>0.5</v>
      </c>
      <c r="U11" s="134"/>
    </row>
    <row r="12" spans="1:24" s="137" customFormat="1" ht="45" x14ac:dyDescent="0.2">
      <c r="A12" s="130" t="s">
        <v>169</v>
      </c>
      <c r="B12" s="130" t="s">
        <v>168</v>
      </c>
      <c r="C12" s="131" t="s">
        <v>32</v>
      </c>
      <c r="D12" s="131" t="s">
        <v>76</v>
      </c>
      <c r="E12" s="132">
        <v>29408</v>
      </c>
      <c r="F12" s="133">
        <v>2007</v>
      </c>
      <c r="G12" s="131" t="s">
        <v>113</v>
      </c>
      <c r="H12" s="134" t="s">
        <v>171</v>
      </c>
      <c r="I12" s="131" t="s">
        <v>137</v>
      </c>
      <c r="J12" s="131" t="s">
        <v>12</v>
      </c>
      <c r="K12" s="131" t="s">
        <v>152</v>
      </c>
      <c r="L12" s="134"/>
      <c r="M12" s="130" t="s">
        <v>15</v>
      </c>
      <c r="N12" s="131" t="s">
        <v>158</v>
      </c>
      <c r="O12" s="130" t="s">
        <v>161</v>
      </c>
      <c r="P12" s="135" t="s">
        <v>1059</v>
      </c>
      <c r="Q12" s="136">
        <v>1</v>
      </c>
      <c r="R12" s="136">
        <v>1</v>
      </c>
      <c r="S12" s="134" t="s">
        <v>182</v>
      </c>
      <c r="T12" s="136">
        <v>0.5</v>
      </c>
      <c r="U12" s="134"/>
    </row>
    <row r="13" spans="1:24" s="137" customFormat="1" ht="60" x14ac:dyDescent="0.2">
      <c r="A13" s="130" t="s">
        <v>169</v>
      </c>
      <c r="B13" s="130" t="s">
        <v>168</v>
      </c>
      <c r="C13" s="131" t="s">
        <v>33</v>
      </c>
      <c r="D13" s="131" t="s">
        <v>77</v>
      </c>
      <c r="E13" s="132">
        <v>25213</v>
      </c>
      <c r="F13" s="133">
        <v>1993</v>
      </c>
      <c r="G13" s="131" t="s">
        <v>112</v>
      </c>
      <c r="H13" s="134" t="s">
        <v>171</v>
      </c>
      <c r="I13" s="131" t="s">
        <v>138</v>
      </c>
      <c r="J13" s="131" t="s">
        <v>12</v>
      </c>
      <c r="K13" s="131" t="s">
        <v>152</v>
      </c>
      <c r="L13" s="134"/>
      <c r="M13" s="130" t="s">
        <v>15</v>
      </c>
      <c r="N13" s="131" t="s">
        <v>158</v>
      </c>
      <c r="O13" s="130" t="s">
        <v>161</v>
      </c>
      <c r="P13" s="135" t="s">
        <v>1047</v>
      </c>
      <c r="Q13" s="136">
        <v>1</v>
      </c>
      <c r="R13" s="136">
        <v>1</v>
      </c>
      <c r="S13" s="134" t="s">
        <v>183</v>
      </c>
      <c r="T13" s="136">
        <v>0.5</v>
      </c>
      <c r="U13" s="134"/>
    </row>
    <row r="14" spans="1:24" s="137" customFormat="1" ht="165" x14ac:dyDescent="0.2">
      <c r="A14" s="130" t="s">
        <v>169</v>
      </c>
      <c r="B14" s="130" t="s">
        <v>168</v>
      </c>
      <c r="C14" s="131" t="s">
        <v>34</v>
      </c>
      <c r="D14" s="131" t="s">
        <v>74</v>
      </c>
      <c r="E14" s="132">
        <v>29138</v>
      </c>
      <c r="F14" s="133">
        <v>2008</v>
      </c>
      <c r="G14" s="130" t="s">
        <v>115</v>
      </c>
      <c r="H14" s="134" t="s">
        <v>171</v>
      </c>
      <c r="I14" s="131" t="s">
        <v>115</v>
      </c>
      <c r="J14" s="131" t="s">
        <v>12</v>
      </c>
      <c r="K14" s="131" t="s">
        <v>152</v>
      </c>
      <c r="L14" s="134"/>
      <c r="M14" s="130" t="s">
        <v>15</v>
      </c>
      <c r="N14" s="131" t="s">
        <v>158</v>
      </c>
      <c r="O14" s="130" t="s">
        <v>161</v>
      </c>
      <c r="P14" s="135" t="s">
        <v>1064</v>
      </c>
      <c r="Q14" s="136">
        <v>1</v>
      </c>
      <c r="R14" s="136">
        <v>1</v>
      </c>
      <c r="S14" s="134" t="s">
        <v>178</v>
      </c>
      <c r="T14" s="136">
        <v>0.5</v>
      </c>
      <c r="U14" s="134"/>
    </row>
    <row r="15" spans="1:24" s="45" customFormat="1" ht="29.45" customHeight="1" x14ac:dyDescent="0.2">
      <c r="A15" s="7" t="s">
        <v>169</v>
      </c>
      <c r="B15" s="7" t="s">
        <v>168</v>
      </c>
      <c r="C15" s="14" t="s">
        <v>35</v>
      </c>
      <c r="D15" s="14" t="s">
        <v>78</v>
      </c>
      <c r="E15" s="15">
        <v>32874</v>
      </c>
      <c r="F15" s="16">
        <v>2015</v>
      </c>
      <c r="G15" s="14" t="s">
        <v>116</v>
      </c>
      <c r="H15" s="161"/>
      <c r="I15" s="14" t="s">
        <v>116</v>
      </c>
      <c r="J15" s="14" t="s">
        <v>12</v>
      </c>
      <c r="K15" s="14" t="s">
        <v>154</v>
      </c>
      <c r="L15" s="161"/>
      <c r="M15" s="7" t="s">
        <v>15</v>
      </c>
      <c r="N15" s="14" t="s">
        <v>159</v>
      </c>
      <c r="O15" s="7" t="s">
        <v>161</v>
      </c>
      <c r="P15" s="17" t="s">
        <v>1079</v>
      </c>
      <c r="Q15" s="12">
        <v>1</v>
      </c>
      <c r="R15" s="12">
        <v>0</v>
      </c>
      <c r="S15" s="13" t="s">
        <v>184</v>
      </c>
      <c r="T15" s="12">
        <v>0.5</v>
      </c>
      <c r="U15" s="13"/>
      <c r="V15" s="162"/>
      <c r="W15" s="162"/>
      <c r="X15" s="162"/>
    </row>
    <row r="16" spans="1:24" s="137" customFormat="1" ht="105" x14ac:dyDescent="0.2">
      <c r="A16" s="130" t="s">
        <v>169</v>
      </c>
      <c r="B16" s="130" t="s">
        <v>168</v>
      </c>
      <c r="C16" s="131" t="s">
        <v>36</v>
      </c>
      <c r="D16" s="131" t="s">
        <v>79</v>
      </c>
      <c r="E16" s="132">
        <v>27764</v>
      </c>
      <c r="F16" s="133">
        <v>2000</v>
      </c>
      <c r="G16" s="131" t="s">
        <v>114</v>
      </c>
      <c r="H16" s="155" t="s">
        <v>171</v>
      </c>
      <c r="I16" s="131" t="s">
        <v>114</v>
      </c>
      <c r="J16" s="131" t="s">
        <v>12</v>
      </c>
      <c r="K16" s="131" t="s">
        <v>152</v>
      </c>
      <c r="L16" s="155"/>
      <c r="M16" s="130" t="s">
        <v>15</v>
      </c>
      <c r="N16" s="131" t="s">
        <v>158</v>
      </c>
      <c r="O16" s="130" t="s">
        <v>161</v>
      </c>
      <c r="P16" s="135" t="s">
        <v>1054</v>
      </c>
      <c r="Q16" s="136">
        <v>1</v>
      </c>
      <c r="R16" s="136">
        <v>1</v>
      </c>
      <c r="S16" s="134" t="s">
        <v>181</v>
      </c>
      <c r="T16" s="136">
        <v>0.5</v>
      </c>
      <c r="U16" s="134"/>
      <c r="V16" s="150"/>
      <c r="W16" s="150"/>
      <c r="X16" s="150"/>
    </row>
    <row r="17" spans="1:24" s="137" customFormat="1" ht="31.5" x14ac:dyDescent="0.2">
      <c r="A17" s="130" t="s">
        <v>169</v>
      </c>
      <c r="B17" s="130" t="s">
        <v>168</v>
      </c>
      <c r="C17" s="131" t="s">
        <v>37</v>
      </c>
      <c r="D17" s="131" t="s">
        <v>80</v>
      </c>
      <c r="E17" s="132">
        <v>27829</v>
      </c>
      <c r="F17" s="133">
        <v>1997</v>
      </c>
      <c r="G17" s="131" t="s">
        <v>117</v>
      </c>
      <c r="H17" s="155" t="s">
        <v>171</v>
      </c>
      <c r="I17" s="131" t="s">
        <v>139</v>
      </c>
      <c r="J17" s="131" t="s">
        <v>12</v>
      </c>
      <c r="K17" s="131" t="s">
        <v>152</v>
      </c>
      <c r="L17" s="155"/>
      <c r="M17" s="130" t="s">
        <v>15</v>
      </c>
      <c r="N17" s="131" t="s">
        <v>158</v>
      </c>
      <c r="O17" s="130" t="s">
        <v>161</v>
      </c>
      <c r="P17" s="135" t="s">
        <v>1071</v>
      </c>
      <c r="Q17" s="136">
        <v>1</v>
      </c>
      <c r="R17" s="136">
        <v>1</v>
      </c>
      <c r="S17" s="134" t="s">
        <v>181</v>
      </c>
      <c r="T17" s="136">
        <v>0.5</v>
      </c>
      <c r="U17" s="134"/>
      <c r="V17" s="150"/>
      <c r="W17" s="150"/>
      <c r="X17" s="150"/>
    </row>
    <row r="18" spans="1:24" s="137" customFormat="1" ht="90" x14ac:dyDescent="0.2">
      <c r="A18" s="130" t="s">
        <v>169</v>
      </c>
      <c r="B18" s="130" t="s">
        <v>168</v>
      </c>
      <c r="C18" s="131" t="s">
        <v>38</v>
      </c>
      <c r="D18" s="131" t="s">
        <v>81</v>
      </c>
      <c r="E18" s="132">
        <v>29992</v>
      </c>
      <c r="F18" s="133">
        <v>2007</v>
      </c>
      <c r="G18" s="131" t="s">
        <v>111</v>
      </c>
      <c r="H18" s="155" t="s">
        <v>171</v>
      </c>
      <c r="I18" s="131" t="s">
        <v>111</v>
      </c>
      <c r="J18" s="131" t="s">
        <v>12</v>
      </c>
      <c r="K18" s="131" t="s">
        <v>152</v>
      </c>
      <c r="L18" s="155"/>
      <c r="M18" s="130" t="s">
        <v>15</v>
      </c>
      <c r="N18" s="131" t="s">
        <v>158</v>
      </c>
      <c r="O18" s="130" t="s">
        <v>161</v>
      </c>
      <c r="P18" s="151" t="s">
        <v>1061</v>
      </c>
      <c r="Q18" s="136">
        <v>1</v>
      </c>
      <c r="R18" s="136">
        <v>1</v>
      </c>
      <c r="S18" s="134" t="s">
        <v>185</v>
      </c>
      <c r="T18" s="136">
        <v>0.5</v>
      </c>
      <c r="U18" s="134"/>
      <c r="V18" s="150"/>
      <c r="W18" s="150"/>
      <c r="X18" s="150"/>
    </row>
    <row r="19" spans="1:24" s="137" customFormat="1" ht="60" x14ac:dyDescent="0.2">
      <c r="A19" s="130" t="s">
        <v>169</v>
      </c>
      <c r="B19" s="130" t="s">
        <v>168</v>
      </c>
      <c r="C19" s="131" t="s">
        <v>39</v>
      </c>
      <c r="D19" s="131" t="s">
        <v>82</v>
      </c>
      <c r="E19" s="132">
        <v>35065</v>
      </c>
      <c r="F19" s="133">
        <v>2013</v>
      </c>
      <c r="G19" s="131" t="s">
        <v>118</v>
      </c>
      <c r="H19" s="155"/>
      <c r="I19" s="131" t="s">
        <v>140</v>
      </c>
      <c r="J19" s="131" t="s">
        <v>12</v>
      </c>
      <c r="K19" s="131"/>
      <c r="L19" s="155"/>
      <c r="M19" s="130" t="s">
        <v>15</v>
      </c>
      <c r="N19" s="131" t="s">
        <v>158</v>
      </c>
      <c r="O19" s="130" t="s">
        <v>161</v>
      </c>
      <c r="P19" s="135" t="s">
        <v>1057</v>
      </c>
      <c r="Q19" s="136">
        <v>1</v>
      </c>
      <c r="R19" s="136">
        <v>1</v>
      </c>
      <c r="S19" s="134" t="s">
        <v>186</v>
      </c>
      <c r="T19" s="136">
        <v>0.5</v>
      </c>
      <c r="U19" s="134"/>
      <c r="V19" s="150"/>
      <c r="W19" s="150"/>
      <c r="X19" s="150"/>
    </row>
    <row r="20" spans="1:24" s="137" customFormat="1" ht="31.5" x14ac:dyDescent="0.2">
      <c r="A20" s="130" t="s">
        <v>169</v>
      </c>
      <c r="B20" s="130" t="s">
        <v>168</v>
      </c>
      <c r="C20" s="131" t="s">
        <v>40</v>
      </c>
      <c r="D20" s="131" t="s">
        <v>83</v>
      </c>
      <c r="E20" s="132">
        <v>27090</v>
      </c>
      <c r="F20" s="133">
        <v>1997</v>
      </c>
      <c r="G20" s="131" t="s">
        <v>119</v>
      </c>
      <c r="H20" s="155"/>
      <c r="I20" s="131" t="s">
        <v>141</v>
      </c>
      <c r="J20" s="131" t="s">
        <v>12</v>
      </c>
      <c r="K20" s="131" t="s">
        <v>152</v>
      </c>
      <c r="L20" s="155"/>
      <c r="M20" s="130" t="s">
        <v>15</v>
      </c>
      <c r="N20" s="131" t="s">
        <v>158</v>
      </c>
      <c r="O20" s="131"/>
      <c r="P20" s="135" t="s">
        <v>1068</v>
      </c>
      <c r="Q20" s="136">
        <v>1</v>
      </c>
      <c r="R20" s="136">
        <v>1</v>
      </c>
      <c r="S20" s="134" t="s">
        <v>187</v>
      </c>
      <c r="T20" s="136">
        <v>0.5</v>
      </c>
      <c r="U20" s="134"/>
      <c r="V20" s="150"/>
      <c r="W20" s="150"/>
      <c r="X20" s="150"/>
    </row>
    <row r="21" spans="1:24" s="137" customFormat="1" ht="46.9" customHeight="1" x14ac:dyDescent="0.2">
      <c r="A21" s="130" t="s">
        <v>169</v>
      </c>
      <c r="B21" s="130" t="s">
        <v>168</v>
      </c>
      <c r="C21" s="131" t="s">
        <v>41</v>
      </c>
      <c r="D21" s="131" t="s">
        <v>84</v>
      </c>
      <c r="E21" s="132">
        <v>28524</v>
      </c>
      <c r="F21" s="133">
        <v>1996</v>
      </c>
      <c r="G21" s="131" t="s">
        <v>120</v>
      </c>
      <c r="H21" s="149"/>
      <c r="I21" s="131" t="s">
        <v>142</v>
      </c>
      <c r="J21" s="131" t="s">
        <v>12</v>
      </c>
      <c r="K21" s="131" t="s">
        <v>152</v>
      </c>
      <c r="L21" s="149"/>
      <c r="M21" s="130" t="s">
        <v>15</v>
      </c>
      <c r="N21" s="131" t="s">
        <v>158</v>
      </c>
      <c r="O21" s="131" t="s">
        <v>162</v>
      </c>
      <c r="P21" s="135" t="s">
        <v>1049</v>
      </c>
      <c r="Q21" s="136">
        <v>1</v>
      </c>
      <c r="R21" s="136">
        <v>1</v>
      </c>
      <c r="S21" s="134" t="s">
        <v>188</v>
      </c>
      <c r="T21" s="136">
        <v>0.5</v>
      </c>
      <c r="U21" s="134"/>
      <c r="V21" s="150"/>
      <c r="W21" s="150"/>
      <c r="X21" s="150"/>
    </row>
    <row r="22" spans="1:24" s="137" customFormat="1" ht="31.5" x14ac:dyDescent="0.2">
      <c r="A22" s="130" t="s">
        <v>169</v>
      </c>
      <c r="B22" s="130" t="s">
        <v>168</v>
      </c>
      <c r="C22" s="131" t="s">
        <v>42</v>
      </c>
      <c r="D22" s="131" t="s">
        <v>85</v>
      </c>
      <c r="E22" s="132">
        <v>25204</v>
      </c>
      <c r="F22" s="133">
        <v>1998</v>
      </c>
      <c r="G22" s="131" t="s">
        <v>121</v>
      </c>
      <c r="H22" s="149"/>
      <c r="I22" s="131" t="s">
        <v>143</v>
      </c>
      <c r="J22" s="131" t="s">
        <v>12</v>
      </c>
      <c r="K22" s="131" t="s">
        <v>152</v>
      </c>
      <c r="L22" s="149"/>
      <c r="M22" s="130" t="s">
        <v>15</v>
      </c>
      <c r="N22" s="131" t="s">
        <v>158</v>
      </c>
      <c r="O22" s="131" t="s">
        <v>162</v>
      </c>
      <c r="P22" s="135" t="s">
        <v>167</v>
      </c>
      <c r="Q22" s="136">
        <v>0.9</v>
      </c>
      <c r="R22" s="136">
        <v>0.8</v>
      </c>
      <c r="S22" s="134" t="s">
        <v>189</v>
      </c>
      <c r="T22" s="136">
        <v>0.5</v>
      </c>
      <c r="U22" s="134"/>
      <c r="V22" s="150"/>
      <c r="W22" s="150"/>
      <c r="X22" s="150"/>
    </row>
    <row r="23" spans="1:24" s="137" customFormat="1" ht="105" x14ac:dyDescent="0.2">
      <c r="A23" s="130" t="s">
        <v>169</v>
      </c>
      <c r="B23" s="130" t="s">
        <v>168</v>
      </c>
      <c r="C23" s="147" t="s">
        <v>43</v>
      </c>
      <c r="D23" s="130" t="s">
        <v>86</v>
      </c>
      <c r="E23" s="142">
        <v>30794</v>
      </c>
      <c r="F23" s="140">
        <v>2007</v>
      </c>
      <c r="G23" s="130" t="s">
        <v>122</v>
      </c>
      <c r="H23" s="149" t="s">
        <v>171</v>
      </c>
      <c r="I23" s="130" t="s">
        <v>139</v>
      </c>
      <c r="J23" s="131" t="s">
        <v>12</v>
      </c>
      <c r="K23" s="130"/>
      <c r="L23" s="149"/>
      <c r="M23" s="130" t="s">
        <v>15</v>
      </c>
      <c r="N23" s="131" t="s">
        <v>160</v>
      </c>
      <c r="O23" s="130" t="s">
        <v>161</v>
      </c>
      <c r="P23" s="135" t="s">
        <v>1062</v>
      </c>
      <c r="Q23" s="136">
        <v>1</v>
      </c>
      <c r="R23" s="136">
        <v>1</v>
      </c>
      <c r="S23" s="134" t="s">
        <v>181</v>
      </c>
      <c r="T23" s="136">
        <v>0.5</v>
      </c>
      <c r="U23" s="134"/>
      <c r="V23" s="150"/>
      <c r="W23" s="150"/>
      <c r="X23" s="150"/>
    </row>
    <row r="24" spans="1:24" s="137" customFormat="1" ht="60" x14ac:dyDescent="0.2">
      <c r="A24" s="130" t="s">
        <v>169</v>
      </c>
      <c r="B24" s="130" t="s">
        <v>168</v>
      </c>
      <c r="C24" s="147" t="s">
        <v>44</v>
      </c>
      <c r="D24" s="153" t="s">
        <v>87</v>
      </c>
      <c r="E24" s="154">
        <v>30531</v>
      </c>
      <c r="F24" s="140">
        <v>2011</v>
      </c>
      <c r="G24" s="130" t="s">
        <v>111</v>
      </c>
      <c r="H24" s="149" t="s">
        <v>171</v>
      </c>
      <c r="I24" s="130" t="s">
        <v>111</v>
      </c>
      <c r="J24" s="131" t="s">
        <v>12</v>
      </c>
      <c r="K24" s="130"/>
      <c r="L24" s="149"/>
      <c r="M24" s="130" t="s">
        <v>15</v>
      </c>
      <c r="N24" s="131" t="s">
        <v>160</v>
      </c>
      <c r="O24" s="130" t="s">
        <v>161</v>
      </c>
      <c r="P24" s="135" t="s">
        <v>1052</v>
      </c>
      <c r="Q24" s="136">
        <v>1</v>
      </c>
      <c r="R24" s="136">
        <v>1</v>
      </c>
      <c r="S24" s="134" t="s">
        <v>190</v>
      </c>
      <c r="T24" s="136">
        <v>0.5</v>
      </c>
      <c r="U24" s="134"/>
      <c r="V24" s="150"/>
      <c r="W24" s="150"/>
      <c r="X24" s="150"/>
    </row>
    <row r="25" spans="1:24" s="137" customFormat="1" ht="300" x14ac:dyDescent="0.2">
      <c r="A25" s="130" t="s">
        <v>169</v>
      </c>
      <c r="B25" s="130" t="s">
        <v>168</v>
      </c>
      <c r="C25" s="147" t="s">
        <v>45</v>
      </c>
      <c r="D25" s="148" t="s">
        <v>88</v>
      </c>
      <c r="E25" s="142">
        <v>28581</v>
      </c>
      <c r="F25" s="140">
        <v>1998</v>
      </c>
      <c r="G25" s="130" t="s">
        <v>123</v>
      </c>
      <c r="H25" s="143" t="s">
        <v>171</v>
      </c>
      <c r="I25" s="130" t="s">
        <v>144</v>
      </c>
      <c r="J25" s="130" t="s">
        <v>12</v>
      </c>
      <c r="K25" s="130"/>
      <c r="L25" s="143"/>
      <c r="M25" s="130" t="s">
        <v>15</v>
      </c>
      <c r="N25" s="130" t="s">
        <v>158</v>
      </c>
      <c r="O25" s="130" t="s">
        <v>161</v>
      </c>
      <c r="P25" s="135" t="s">
        <v>1048</v>
      </c>
      <c r="Q25" s="136">
        <v>1</v>
      </c>
      <c r="R25" s="136">
        <v>1</v>
      </c>
      <c r="S25" s="134" t="s">
        <v>191</v>
      </c>
      <c r="T25" s="136">
        <v>0.5</v>
      </c>
      <c r="U25" s="134"/>
    </row>
    <row r="26" spans="1:24" s="137" customFormat="1" ht="90" x14ac:dyDescent="0.2">
      <c r="A26" s="130" t="s">
        <v>169</v>
      </c>
      <c r="B26" s="130" t="s">
        <v>168</v>
      </c>
      <c r="C26" s="130" t="s">
        <v>46</v>
      </c>
      <c r="D26" s="130" t="s">
        <v>73</v>
      </c>
      <c r="E26" s="142">
        <v>26291</v>
      </c>
      <c r="F26" s="140">
        <v>1995</v>
      </c>
      <c r="G26" s="130" t="s">
        <v>115</v>
      </c>
      <c r="H26" s="143" t="s">
        <v>171</v>
      </c>
      <c r="I26" s="130" t="s">
        <v>115</v>
      </c>
      <c r="J26" s="130" t="s">
        <v>12</v>
      </c>
      <c r="K26" s="130"/>
      <c r="L26" s="143"/>
      <c r="M26" s="130" t="s">
        <v>15</v>
      </c>
      <c r="N26" s="130" t="s">
        <v>158</v>
      </c>
      <c r="O26" s="130" t="s">
        <v>161</v>
      </c>
      <c r="P26" s="135" t="s">
        <v>1045</v>
      </c>
      <c r="Q26" s="136">
        <v>1</v>
      </c>
      <c r="R26" s="136">
        <v>1</v>
      </c>
      <c r="S26" s="134" t="s">
        <v>192</v>
      </c>
      <c r="T26" s="136">
        <v>0.75</v>
      </c>
      <c r="U26" s="134"/>
    </row>
    <row r="27" spans="1:24" s="137" customFormat="1" ht="330" x14ac:dyDescent="0.2">
      <c r="A27" s="130" t="s">
        <v>169</v>
      </c>
      <c r="B27" s="130" t="s">
        <v>168</v>
      </c>
      <c r="C27" s="130" t="s">
        <v>47</v>
      </c>
      <c r="D27" s="130" t="s">
        <v>89</v>
      </c>
      <c r="E27" s="140">
        <v>1989</v>
      </c>
      <c r="F27" s="140">
        <v>2012</v>
      </c>
      <c r="G27" s="130" t="s">
        <v>111</v>
      </c>
      <c r="H27" s="143" t="s">
        <v>171</v>
      </c>
      <c r="I27" s="130" t="s">
        <v>111</v>
      </c>
      <c r="J27" s="130" t="s">
        <v>12</v>
      </c>
      <c r="K27" s="130"/>
      <c r="L27" s="143"/>
      <c r="M27" s="130" t="s">
        <v>15</v>
      </c>
      <c r="N27" s="130" t="s">
        <v>158</v>
      </c>
      <c r="O27" s="130" t="s">
        <v>161</v>
      </c>
      <c r="P27" s="151" t="s">
        <v>1072</v>
      </c>
      <c r="Q27" s="136">
        <v>1</v>
      </c>
      <c r="R27" s="136">
        <v>1</v>
      </c>
      <c r="S27" s="134" t="s">
        <v>179</v>
      </c>
      <c r="T27" s="136">
        <v>0.5</v>
      </c>
      <c r="U27" s="134"/>
    </row>
    <row r="28" spans="1:24" s="137" customFormat="1" ht="75" x14ac:dyDescent="0.2">
      <c r="A28" s="130" t="s">
        <v>169</v>
      </c>
      <c r="B28" s="130" t="s">
        <v>168</v>
      </c>
      <c r="C28" s="130" t="s">
        <v>48</v>
      </c>
      <c r="D28" s="130" t="s">
        <v>90</v>
      </c>
      <c r="E28" s="142">
        <v>31513</v>
      </c>
      <c r="F28" s="140">
        <v>2008</v>
      </c>
      <c r="G28" s="131" t="s">
        <v>110</v>
      </c>
      <c r="H28" s="143" t="s">
        <v>171</v>
      </c>
      <c r="I28" s="131" t="s">
        <v>136</v>
      </c>
      <c r="J28" s="130" t="s">
        <v>12</v>
      </c>
      <c r="K28" s="130"/>
      <c r="L28" s="143"/>
      <c r="M28" s="130" t="s">
        <v>15</v>
      </c>
      <c r="N28" s="130" t="s">
        <v>158</v>
      </c>
      <c r="O28" s="130" t="s">
        <v>161</v>
      </c>
      <c r="P28" s="135" t="s">
        <v>1073</v>
      </c>
      <c r="Q28" s="136">
        <v>1</v>
      </c>
      <c r="R28" s="136">
        <v>1</v>
      </c>
      <c r="S28" s="134" t="s">
        <v>178</v>
      </c>
      <c r="T28" s="136">
        <v>0.5</v>
      </c>
      <c r="U28" s="134"/>
    </row>
    <row r="29" spans="1:24" s="137" customFormat="1" ht="31.5" x14ac:dyDescent="0.2">
      <c r="A29" s="130" t="s">
        <v>169</v>
      </c>
      <c r="B29" s="130" t="s">
        <v>168</v>
      </c>
      <c r="C29" s="130" t="s">
        <v>49</v>
      </c>
      <c r="D29" s="130" t="s">
        <v>91</v>
      </c>
      <c r="E29" s="142">
        <v>34380</v>
      </c>
      <c r="F29" s="140">
        <v>2024</v>
      </c>
      <c r="G29" s="130" t="s">
        <v>124</v>
      </c>
      <c r="H29" s="143"/>
      <c r="I29" s="130" t="s">
        <v>145</v>
      </c>
      <c r="J29" s="130" t="s">
        <v>12</v>
      </c>
      <c r="K29" s="130"/>
      <c r="L29" s="143"/>
      <c r="M29" s="130" t="s">
        <v>15</v>
      </c>
      <c r="N29" s="130" t="s">
        <v>158</v>
      </c>
      <c r="O29" s="130" t="s">
        <v>161</v>
      </c>
      <c r="P29" s="135" t="s">
        <v>166</v>
      </c>
      <c r="Q29" s="136">
        <v>1</v>
      </c>
      <c r="R29" s="136">
        <v>1</v>
      </c>
      <c r="S29" s="134" t="s">
        <v>193</v>
      </c>
      <c r="T29" s="136">
        <v>0.5</v>
      </c>
      <c r="U29" s="134"/>
    </row>
    <row r="30" spans="1:24" s="137" customFormat="1" ht="31.5" x14ac:dyDescent="0.2">
      <c r="A30" s="130" t="s">
        <v>169</v>
      </c>
      <c r="B30" s="130" t="s">
        <v>168</v>
      </c>
      <c r="C30" s="130" t="s">
        <v>50</v>
      </c>
      <c r="D30" s="130" t="s">
        <v>92</v>
      </c>
      <c r="E30" s="142">
        <v>34700</v>
      </c>
      <c r="F30" s="140">
        <v>2024</v>
      </c>
      <c r="G30" s="130" t="s">
        <v>116</v>
      </c>
      <c r="H30" s="143" t="s">
        <v>171</v>
      </c>
      <c r="I30" s="130" t="s">
        <v>116</v>
      </c>
      <c r="J30" s="130" t="s">
        <v>12</v>
      </c>
      <c r="K30" s="130"/>
      <c r="L30" s="143"/>
      <c r="M30" s="130" t="s">
        <v>15</v>
      </c>
      <c r="N30" s="130" t="s">
        <v>158</v>
      </c>
      <c r="O30" s="130" t="s">
        <v>161</v>
      </c>
      <c r="P30" s="135" t="s">
        <v>1069</v>
      </c>
      <c r="Q30" s="136">
        <v>1</v>
      </c>
      <c r="R30" s="136">
        <v>1</v>
      </c>
      <c r="S30" s="134" t="s">
        <v>194</v>
      </c>
      <c r="T30" s="136">
        <v>0.5</v>
      </c>
      <c r="U30" s="134"/>
    </row>
    <row r="31" spans="1:24" s="137" customFormat="1" ht="60" x14ac:dyDescent="0.2">
      <c r="A31" s="130" t="s">
        <v>169</v>
      </c>
      <c r="B31" s="130" t="s">
        <v>168</v>
      </c>
      <c r="C31" s="130" t="s">
        <v>51</v>
      </c>
      <c r="D31" s="130" t="s">
        <v>93</v>
      </c>
      <c r="E31" s="142">
        <v>35170</v>
      </c>
      <c r="F31" s="140">
        <v>2024</v>
      </c>
      <c r="G31" s="130" t="s">
        <v>125</v>
      </c>
      <c r="H31" s="143" t="s">
        <v>172</v>
      </c>
      <c r="I31" s="130" t="s">
        <v>125</v>
      </c>
      <c r="J31" s="130" t="s">
        <v>12</v>
      </c>
      <c r="K31" s="130"/>
      <c r="L31" s="143"/>
      <c r="M31" s="130" t="s">
        <v>15</v>
      </c>
      <c r="N31" s="130" t="s">
        <v>158</v>
      </c>
      <c r="O31" s="130" t="s">
        <v>161</v>
      </c>
      <c r="P31" s="135" t="s">
        <v>1065</v>
      </c>
      <c r="Q31" s="136">
        <v>1</v>
      </c>
      <c r="R31" s="136">
        <v>1</v>
      </c>
      <c r="S31" s="134" t="s">
        <v>187</v>
      </c>
      <c r="T31" s="136">
        <v>0.5</v>
      </c>
      <c r="U31" s="134"/>
    </row>
    <row r="32" spans="1:24" s="137" customFormat="1" ht="60" x14ac:dyDescent="0.2">
      <c r="A32" s="130" t="s">
        <v>169</v>
      </c>
      <c r="B32" s="130" t="s">
        <v>168</v>
      </c>
      <c r="C32" s="130" t="s">
        <v>52</v>
      </c>
      <c r="D32" s="130" t="s">
        <v>94</v>
      </c>
      <c r="E32" s="142">
        <v>33970</v>
      </c>
      <c r="F32" s="140">
        <v>2024</v>
      </c>
      <c r="G32" s="130" t="s">
        <v>114</v>
      </c>
      <c r="H32" s="143" t="s">
        <v>173</v>
      </c>
      <c r="I32" s="130" t="s">
        <v>114</v>
      </c>
      <c r="J32" s="130" t="s">
        <v>12</v>
      </c>
      <c r="K32" s="130"/>
      <c r="L32" s="143"/>
      <c r="M32" s="130" t="s">
        <v>15</v>
      </c>
      <c r="N32" s="130" t="s">
        <v>158</v>
      </c>
      <c r="O32" s="130" t="s">
        <v>161</v>
      </c>
      <c r="P32" s="135" t="s">
        <v>1066</v>
      </c>
      <c r="Q32" s="136">
        <v>1</v>
      </c>
      <c r="R32" s="136">
        <v>1</v>
      </c>
      <c r="S32" s="134" t="s">
        <v>181</v>
      </c>
      <c r="T32" s="136">
        <v>0.5</v>
      </c>
      <c r="U32" s="134"/>
    </row>
    <row r="33" spans="1:21" s="45" customFormat="1" ht="31.5" x14ac:dyDescent="0.2">
      <c r="A33" s="7" t="s">
        <v>169</v>
      </c>
      <c r="B33" s="7" t="s">
        <v>168</v>
      </c>
      <c r="C33" s="7" t="s">
        <v>53</v>
      </c>
      <c r="D33" s="7" t="s">
        <v>95</v>
      </c>
      <c r="E33" s="8">
        <v>34417</v>
      </c>
      <c r="F33" s="9">
        <v>2024</v>
      </c>
      <c r="G33" s="7" t="s">
        <v>114</v>
      </c>
      <c r="H33" s="10" t="s">
        <v>173</v>
      </c>
      <c r="I33" s="7" t="s">
        <v>114</v>
      </c>
      <c r="J33" s="7" t="s">
        <v>12</v>
      </c>
      <c r="K33" s="7"/>
      <c r="L33" s="10"/>
      <c r="M33" s="7" t="s">
        <v>15</v>
      </c>
      <c r="N33" s="7" t="s">
        <v>159</v>
      </c>
      <c r="O33" s="7" t="s">
        <v>161</v>
      </c>
      <c r="P33" s="17" t="s">
        <v>163</v>
      </c>
      <c r="Q33" s="12">
        <v>1</v>
      </c>
      <c r="R33" s="12">
        <v>0</v>
      </c>
      <c r="S33" s="13" t="s">
        <v>181</v>
      </c>
      <c r="T33" s="12">
        <v>0.5</v>
      </c>
      <c r="U33" s="13"/>
    </row>
    <row r="34" spans="1:21" s="45" customFormat="1" ht="47.25" x14ac:dyDescent="0.2">
      <c r="A34" s="7" t="s">
        <v>169</v>
      </c>
      <c r="B34" s="7" t="s">
        <v>168</v>
      </c>
      <c r="C34" s="7" t="s">
        <v>54</v>
      </c>
      <c r="D34" s="7" t="s">
        <v>96</v>
      </c>
      <c r="E34" s="8">
        <v>31311</v>
      </c>
      <c r="F34" s="9">
        <v>2024</v>
      </c>
      <c r="G34" s="7" t="s">
        <v>113</v>
      </c>
      <c r="H34" s="10" t="s">
        <v>172</v>
      </c>
      <c r="I34" s="7" t="s">
        <v>137</v>
      </c>
      <c r="J34" s="7" t="s">
        <v>12</v>
      </c>
      <c r="K34" s="7"/>
      <c r="L34" s="10"/>
      <c r="M34" s="7" t="s">
        <v>15</v>
      </c>
      <c r="N34" s="7" t="s">
        <v>1077</v>
      </c>
      <c r="O34" s="7" t="s">
        <v>161</v>
      </c>
      <c r="P34" s="17" t="s">
        <v>1078</v>
      </c>
      <c r="Q34" s="12">
        <v>1</v>
      </c>
      <c r="R34" s="12">
        <v>0</v>
      </c>
      <c r="S34" s="13" t="s">
        <v>196</v>
      </c>
      <c r="T34" s="12">
        <v>0.5</v>
      </c>
      <c r="U34" s="13"/>
    </row>
    <row r="35" spans="1:21" s="45" customFormat="1" ht="31.5" x14ac:dyDescent="0.2">
      <c r="A35" s="7" t="s">
        <v>169</v>
      </c>
      <c r="B35" s="7" t="s">
        <v>168</v>
      </c>
      <c r="C35" s="7" t="s">
        <v>56</v>
      </c>
      <c r="D35" s="7" t="s">
        <v>98</v>
      </c>
      <c r="E35" s="8">
        <v>30913</v>
      </c>
      <c r="F35" s="9">
        <v>2011</v>
      </c>
      <c r="G35" s="7" t="s">
        <v>126</v>
      </c>
      <c r="H35" s="10" t="s">
        <v>171</v>
      </c>
      <c r="I35" s="7" t="s">
        <v>126</v>
      </c>
      <c r="J35" s="7" t="s">
        <v>12</v>
      </c>
      <c r="K35" s="7" t="s">
        <v>155</v>
      </c>
      <c r="L35" s="10"/>
      <c r="M35" s="7" t="s">
        <v>15</v>
      </c>
      <c r="N35" s="7" t="s">
        <v>1075</v>
      </c>
      <c r="O35" s="7" t="s">
        <v>161</v>
      </c>
      <c r="P35" s="160" t="s">
        <v>1076</v>
      </c>
      <c r="Q35" s="12">
        <v>1</v>
      </c>
      <c r="R35" s="12">
        <v>0</v>
      </c>
      <c r="S35" s="13" t="s">
        <v>196</v>
      </c>
      <c r="T35" s="12">
        <v>0.5</v>
      </c>
      <c r="U35" s="13"/>
    </row>
    <row r="36" spans="1:21" s="137" customFormat="1" ht="90" x14ac:dyDescent="0.2">
      <c r="A36" s="130" t="s">
        <v>169</v>
      </c>
      <c r="B36" s="130" t="s">
        <v>168</v>
      </c>
      <c r="C36" s="130" t="s">
        <v>57</v>
      </c>
      <c r="D36" s="130" t="s">
        <v>99</v>
      </c>
      <c r="E36" s="142">
        <v>32874</v>
      </c>
      <c r="F36" s="140">
        <v>2014</v>
      </c>
      <c r="G36" s="130" t="s">
        <v>114</v>
      </c>
      <c r="H36" s="143" t="s">
        <v>172</v>
      </c>
      <c r="I36" s="130" t="s">
        <v>114</v>
      </c>
      <c r="J36" s="130" t="s">
        <v>12</v>
      </c>
      <c r="K36" s="130" t="s">
        <v>155</v>
      </c>
      <c r="L36" s="143"/>
      <c r="M36" s="130" t="s">
        <v>15</v>
      </c>
      <c r="N36" s="130" t="s">
        <v>158</v>
      </c>
      <c r="O36" s="130" t="s">
        <v>161</v>
      </c>
      <c r="P36" s="151" t="s">
        <v>1050</v>
      </c>
      <c r="Q36" s="136">
        <v>1</v>
      </c>
      <c r="R36" s="136">
        <v>1</v>
      </c>
      <c r="S36" s="134" t="s">
        <v>195</v>
      </c>
      <c r="T36" s="136">
        <v>0.5</v>
      </c>
      <c r="U36" s="134"/>
    </row>
    <row r="37" spans="1:21" s="137" customFormat="1" ht="105" x14ac:dyDescent="0.2">
      <c r="A37" s="130" t="s">
        <v>169</v>
      </c>
      <c r="B37" s="130" t="s">
        <v>168</v>
      </c>
      <c r="C37" s="130" t="s">
        <v>58</v>
      </c>
      <c r="D37" s="130" t="s">
        <v>100</v>
      </c>
      <c r="E37" s="142">
        <v>29815</v>
      </c>
      <c r="F37" s="140">
        <v>2007</v>
      </c>
      <c r="G37" s="130" t="s">
        <v>115</v>
      </c>
      <c r="H37" s="143" t="s">
        <v>171</v>
      </c>
      <c r="I37" s="130" t="s">
        <v>115</v>
      </c>
      <c r="J37" s="130" t="s">
        <v>12</v>
      </c>
      <c r="K37" s="130" t="s">
        <v>155</v>
      </c>
      <c r="L37" s="143"/>
      <c r="M37" s="130" t="s">
        <v>15</v>
      </c>
      <c r="N37" s="130" t="s">
        <v>158</v>
      </c>
      <c r="O37" s="130" t="s">
        <v>161</v>
      </c>
      <c r="P37" s="151" t="s">
        <v>1056</v>
      </c>
      <c r="Q37" s="136">
        <v>1</v>
      </c>
      <c r="R37" s="136">
        <v>1</v>
      </c>
      <c r="S37" s="134" t="s">
        <v>192</v>
      </c>
      <c r="T37" s="136">
        <v>0.5</v>
      </c>
      <c r="U37" s="134"/>
    </row>
    <row r="38" spans="1:21" s="137" customFormat="1" ht="75" x14ac:dyDescent="0.2">
      <c r="A38" s="130" t="s">
        <v>169</v>
      </c>
      <c r="B38" s="130" t="s">
        <v>168</v>
      </c>
      <c r="C38" s="130" t="s">
        <v>59</v>
      </c>
      <c r="D38" s="130" t="s">
        <v>101</v>
      </c>
      <c r="E38" s="142">
        <v>31438</v>
      </c>
      <c r="F38" s="140">
        <v>2010</v>
      </c>
      <c r="G38" s="130" t="s">
        <v>112</v>
      </c>
      <c r="H38" s="141" t="s">
        <v>171</v>
      </c>
      <c r="I38" s="130" t="s">
        <v>146</v>
      </c>
      <c r="J38" s="130" t="s">
        <v>12</v>
      </c>
      <c r="K38" s="130" t="s">
        <v>155</v>
      </c>
      <c r="L38" s="141"/>
      <c r="M38" s="130" t="s">
        <v>15</v>
      </c>
      <c r="N38" s="130" t="s">
        <v>158</v>
      </c>
      <c r="O38" s="130" t="s">
        <v>161</v>
      </c>
      <c r="P38" s="135" t="s">
        <v>1058</v>
      </c>
      <c r="Q38" s="136">
        <v>1</v>
      </c>
      <c r="R38" s="136">
        <v>1</v>
      </c>
      <c r="S38" s="134" t="s">
        <v>180</v>
      </c>
      <c r="T38" s="136">
        <v>0.5</v>
      </c>
      <c r="U38" s="134"/>
    </row>
    <row r="39" spans="1:21" s="137" customFormat="1" ht="90" x14ac:dyDescent="0.2">
      <c r="A39" s="130" t="s">
        <v>169</v>
      </c>
      <c r="B39" s="130" t="s">
        <v>168</v>
      </c>
      <c r="C39" s="139" t="s">
        <v>60</v>
      </c>
      <c r="D39" s="130" t="s">
        <v>73</v>
      </c>
      <c r="E39" s="142">
        <v>27946</v>
      </c>
      <c r="F39" s="140">
        <v>1997</v>
      </c>
      <c r="G39" s="131" t="s">
        <v>127</v>
      </c>
      <c r="H39" s="141" t="s">
        <v>171</v>
      </c>
      <c r="I39" s="131" t="s">
        <v>135</v>
      </c>
      <c r="J39" s="130" t="s">
        <v>12</v>
      </c>
      <c r="K39" s="130" t="s">
        <v>155</v>
      </c>
      <c r="L39" s="141"/>
      <c r="M39" s="130" t="s">
        <v>15</v>
      </c>
      <c r="N39" s="130" t="s">
        <v>158</v>
      </c>
      <c r="O39" s="130" t="s">
        <v>161</v>
      </c>
      <c r="P39" s="135" t="s">
        <v>1055</v>
      </c>
      <c r="Q39" s="136">
        <v>0.9</v>
      </c>
      <c r="R39" s="136">
        <v>1</v>
      </c>
      <c r="S39" s="134" t="s">
        <v>180</v>
      </c>
      <c r="T39" s="136">
        <v>0.5</v>
      </c>
      <c r="U39" s="134"/>
    </row>
    <row r="40" spans="1:21" s="137" customFormat="1" ht="180" x14ac:dyDescent="0.2">
      <c r="A40" s="130" t="s">
        <v>169</v>
      </c>
      <c r="B40" s="130" t="s">
        <v>168</v>
      </c>
      <c r="C40" s="139" t="s">
        <v>61</v>
      </c>
      <c r="D40" s="130" t="s">
        <v>102</v>
      </c>
      <c r="E40" s="130">
        <v>1976</v>
      </c>
      <c r="F40" s="140">
        <v>2007</v>
      </c>
      <c r="G40" s="130" t="s">
        <v>128</v>
      </c>
      <c r="H40" s="141" t="s">
        <v>171</v>
      </c>
      <c r="I40" s="130" t="s">
        <v>128</v>
      </c>
      <c r="J40" s="130" t="s">
        <v>12</v>
      </c>
      <c r="K40" s="130" t="s">
        <v>155</v>
      </c>
      <c r="L40" s="141"/>
      <c r="M40" s="130" t="s">
        <v>15</v>
      </c>
      <c r="N40" s="130" t="s">
        <v>158</v>
      </c>
      <c r="O40" s="130" t="s">
        <v>161</v>
      </c>
      <c r="P40" s="135" t="s">
        <v>165</v>
      </c>
      <c r="Q40" s="136">
        <v>1</v>
      </c>
      <c r="R40" s="136">
        <v>1</v>
      </c>
      <c r="S40" s="134" t="s">
        <v>197</v>
      </c>
      <c r="T40" s="136">
        <v>0.5</v>
      </c>
      <c r="U40" s="134"/>
    </row>
    <row r="41" spans="1:21" s="137" customFormat="1" ht="75" x14ac:dyDescent="0.2">
      <c r="A41" s="130" t="s">
        <v>169</v>
      </c>
      <c r="B41" s="130" t="s">
        <v>168</v>
      </c>
      <c r="C41" s="139" t="s">
        <v>62</v>
      </c>
      <c r="D41" s="130" t="s">
        <v>103</v>
      </c>
      <c r="E41" s="130">
        <v>1976</v>
      </c>
      <c r="F41" s="140">
        <v>2000</v>
      </c>
      <c r="G41" s="130" t="s">
        <v>129</v>
      </c>
      <c r="H41" s="141" t="s">
        <v>171</v>
      </c>
      <c r="I41" s="130" t="s">
        <v>147</v>
      </c>
      <c r="J41" s="130" t="s">
        <v>12</v>
      </c>
      <c r="K41" s="130" t="s">
        <v>155</v>
      </c>
      <c r="L41" s="141"/>
      <c r="M41" s="130" t="s">
        <v>15</v>
      </c>
      <c r="N41" s="130" t="s">
        <v>158</v>
      </c>
      <c r="O41" s="130" t="s">
        <v>161</v>
      </c>
      <c r="P41" s="135" t="s">
        <v>1043</v>
      </c>
      <c r="Q41" s="136">
        <v>0.9</v>
      </c>
      <c r="R41" s="136">
        <v>1</v>
      </c>
      <c r="S41" s="134" t="s">
        <v>180</v>
      </c>
      <c r="T41" s="136">
        <v>0.5</v>
      </c>
      <c r="U41" s="134"/>
    </row>
    <row r="42" spans="1:21" s="137" customFormat="1" ht="75" x14ac:dyDescent="0.2">
      <c r="A42" s="130" t="s">
        <v>169</v>
      </c>
      <c r="B42" s="130" t="s">
        <v>168</v>
      </c>
      <c r="C42" s="156" t="s">
        <v>63</v>
      </c>
      <c r="D42" s="139" t="s">
        <v>104</v>
      </c>
      <c r="E42" s="142">
        <v>31296</v>
      </c>
      <c r="F42" s="140">
        <v>2008</v>
      </c>
      <c r="G42" s="130" t="s">
        <v>130</v>
      </c>
      <c r="H42" s="141" t="s">
        <v>171</v>
      </c>
      <c r="I42" s="130" t="s">
        <v>148</v>
      </c>
      <c r="J42" s="130" t="s">
        <v>12</v>
      </c>
      <c r="K42" s="130"/>
      <c r="L42" s="141"/>
      <c r="M42" s="130" t="s">
        <v>15</v>
      </c>
      <c r="N42" s="130" t="s">
        <v>158</v>
      </c>
      <c r="O42" s="130" t="s">
        <v>161</v>
      </c>
      <c r="P42" s="135" t="s">
        <v>1074</v>
      </c>
      <c r="Q42" s="136">
        <v>1</v>
      </c>
      <c r="R42" s="136">
        <v>1</v>
      </c>
      <c r="S42" s="134" t="s">
        <v>166</v>
      </c>
      <c r="T42" s="136">
        <v>0.5</v>
      </c>
      <c r="U42" s="134"/>
    </row>
    <row r="43" spans="1:21" s="137" customFormat="1" ht="31.5" x14ac:dyDescent="0.2">
      <c r="A43" s="130" t="s">
        <v>169</v>
      </c>
      <c r="B43" s="130" t="s">
        <v>168</v>
      </c>
      <c r="C43" s="139" t="s">
        <v>64</v>
      </c>
      <c r="D43" s="130" t="s">
        <v>105</v>
      </c>
      <c r="E43" s="152">
        <v>30477</v>
      </c>
      <c r="F43" s="140">
        <v>2014</v>
      </c>
      <c r="G43" s="130" t="s">
        <v>131</v>
      </c>
      <c r="H43" s="141"/>
      <c r="I43" s="130" t="s">
        <v>149</v>
      </c>
      <c r="J43" s="130" t="s">
        <v>12</v>
      </c>
      <c r="K43" s="130"/>
      <c r="L43" s="141"/>
      <c r="M43" s="130" t="s">
        <v>15</v>
      </c>
      <c r="N43" s="130" t="s">
        <v>158</v>
      </c>
      <c r="O43" s="130" t="s">
        <v>149</v>
      </c>
      <c r="P43" s="135" t="s">
        <v>149</v>
      </c>
      <c r="Q43" s="136">
        <v>1</v>
      </c>
      <c r="R43" s="136">
        <v>1</v>
      </c>
      <c r="S43" s="134" t="s">
        <v>149</v>
      </c>
      <c r="T43" s="136">
        <v>0.5</v>
      </c>
      <c r="U43" s="134"/>
    </row>
    <row r="44" spans="1:21" s="137" customFormat="1" ht="31.5" x14ac:dyDescent="0.2">
      <c r="A44" s="130" t="s">
        <v>169</v>
      </c>
      <c r="B44" s="130" t="s">
        <v>168</v>
      </c>
      <c r="C44" s="146" t="s">
        <v>65</v>
      </c>
      <c r="D44" s="130" t="s">
        <v>73</v>
      </c>
      <c r="E44" s="152">
        <v>29538</v>
      </c>
      <c r="F44" s="140">
        <v>2009</v>
      </c>
      <c r="G44" s="131" t="s">
        <v>132</v>
      </c>
      <c r="H44" s="141" t="s">
        <v>171</v>
      </c>
      <c r="I44" s="145" t="s">
        <v>142</v>
      </c>
      <c r="J44" s="130" t="s">
        <v>12</v>
      </c>
      <c r="K44" s="146" t="s">
        <v>156</v>
      </c>
      <c r="L44" s="141"/>
      <c r="M44" s="130" t="s">
        <v>15</v>
      </c>
      <c r="N44" s="130" t="s">
        <v>158</v>
      </c>
      <c r="O44" s="131" t="s">
        <v>162</v>
      </c>
      <c r="P44" s="135" t="s">
        <v>1051</v>
      </c>
      <c r="Q44" s="136">
        <v>1</v>
      </c>
      <c r="R44" s="136">
        <v>1</v>
      </c>
      <c r="S44" s="134" t="s">
        <v>188</v>
      </c>
      <c r="T44" s="136">
        <v>0.5</v>
      </c>
      <c r="U44" s="134"/>
    </row>
    <row r="45" spans="1:21" s="137" customFormat="1" ht="180" x14ac:dyDescent="0.2">
      <c r="A45" s="130" t="s">
        <v>169</v>
      </c>
      <c r="B45" s="130" t="s">
        <v>168</v>
      </c>
      <c r="C45" s="144" t="s">
        <v>66</v>
      </c>
      <c r="D45" s="139" t="s">
        <v>106</v>
      </c>
      <c r="E45" s="142">
        <v>30380</v>
      </c>
      <c r="F45" s="140">
        <v>2008</v>
      </c>
      <c r="G45" s="130" t="s">
        <v>133</v>
      </c>
      <c r="H45" s="141" t="s">
        <v>171</v>
      </c>
      <c r="I45" s="145" t="s">
        <v>150</v>
      </c>
      <c r="J45" s="130" t="s">
        <v>12</v>
      </c>
      <c r="K45" s="146" t="s">
        <v>157</v>
      </c>
      <c r="L45" s="141"/>
      <c r="M45" s="130" t="s">
        <v>15</v>
      </c>
      <c r="N45" s="130" t="s">
        <v>158</v>
      </c>
      <c r="O45" s="130" t="s">
        <v>161</v>
      </c>
      <c r="P45" s="135" t="s">
        <v>1044</v>
      </c>
      <c r="Q45" s="136">
        <v>1</v>
      </c>
      <c r="R45" s="136">
        <v>1</v>
      </c>
      <c r="S45" s="134" t="s">
        <v>192</v>
      </c>
      <c r="T45" s="136">
        <v>0.5</v>
      </c>
      <c r="U45" s="134"/>
    </row>
    <row r="46" spans="1:21" s="137" customFormat="1" ht="31.5" x14ac:dyDescent="0.2">
      <c r="A46" s="130" t="s">
        <v>169</v>
      </c>
      <c r="B46" s="130" t="s">
        <v>168</v>
      </c>
      <c r="C46" s="130" t="s">
        <v>67</v>
      </c>
      <c r="D46" s="130" t="s">
        <v>107</v>
      </c>
      <c r="E46" s="142">
        <v>29942</v>
      </c>
      <c r="F46" s="140">
        <v>2006</v>
      </c>
      <c r="G46" s="131" t="s">
        <v>134</v>
      </c>
      <c r="H46" s="141"/>
      <c r="I46" s="145" t="s">
        <v>151</v>
      </c>
      <c r="J46" s="130" t="s">
        <v>12</v>
      </c>
      <c r="K46" s="146" t="s">
        <v>156</v>
      </c>
      <c r="L46" s="141"/>
      <c r="M46" s="130" t="s">
        <v>15</v>
      </c>
      <c r="N46" s="130" t="s">
        <v>158</v>
      </c>
      <c r="O46" s="131" t="s">
        <v>162</v>
      </c>
      <c r="P46" s="135" t="s">
        <v>167</v>
      </c>
      <c r="Q46" s="136">
        <v>1</v>
      </c>
      <c r="R46" s="136">
        <v>1</v>
      </c>
      <c r="S46" s="134" t="s">
        <v>188</v>
      </c>
      <c r="T46" s="136">
        <v>0.5</v>
      </c>
      <c r="U46" s="134"/>
    </row>
    <row r="47" spans="1:21" s="137" customFormat="1" ht="195" x14ac:dyDescent="0.2">
      <c r="A47" s="130" t="s">
        <v>169</v>
      </c>
      <c r="B47" s="130" t="s">
        <v>168</v>
      </c>
      <c r="C47" s="130" t="s">
        <v>68</v>
      </c>
      <c r="D47" s="130" t="s">
        <v>108</v>
      </c>
      <c r="E47" s="142">
        <v>28585</v>
      </c>
      <c r="F47" s="140">
        <v>1998</v>
      </c>
      <c r="G47" s="131" t="s">
        <v>110</v>
      </c>
      <c r="H47" s="141" t="s">
        <v>171</v>
      </c>
      <c r="I47" s="131" t="s">
        <v>136</v>
      </c>
      <c r="J47" s="130" t="s">
        <v>12</v>
      </c>
      <c r="K47" s="146" t="s">
        <v>156</v>
      </c>
      <c r="L47" s="141"/>
      <c r="M47" s="130" t="s">
        <v>15</v>
      </c>
      <c r="N47" s="130" t="s">
        <v>158</v>
      </c>
      <c r="O47" s="130" t="s">
        <v>161</v>
      </c>
      <c r="P47" s="135" t="s">
        <v>1046</v>
      </c>
      <c r="Q47" s="136">
        <v>1</v>
      </c>
      <c r="R47" s="136">
        <v>1</v>
      </c>
      <c r="S47" s="134" t="s">
        <v>192</v>
      </c>
      <c r="T47" s="136">
        <v>0.5</v>
      </c>
      <c r="U47" s="134"/>
    </row>
    <row r="48" spans="1:21" s="45" customFormat="1" ht="60" x14ac:dyDescent="0.2">
      <c r="A48" s="7" t="s">
        <v>169</v>
      </c>
      <c r="B48" s="7" t="s">
        <v>168</v>
      </c>
      <c r="C48" s="7" t="s">
        <v>69</v>
      </c>
      <c r="D48" s="7" t="s">
        <v>95</v>
      </c>
      <c r="E48" s="7">
        <v>1982</v>
      </c>
      <c r="F48" s="9">
        <v>2011</v>
      </c>
      <c r="G48" s="7" t="s">
        <v>111</v>
      </c>
      <c r="H48" s="18" t="s">
        <v>171</v>
      </c>
      <c r="I48" s="7" t="s">
        <v>111</v>
      </c>
      <c r="J48" s="7" t="s">
        <v>12</v>
      </c>
      <c r="K48" s="7"/>
      <c r="L48" s="18"/>
      <c r="M48" s="7" t="s">
        <v>15</v>
      </c>
      <c r="N48" s="7" t="s">
        <v>7</v>
      </c>
      <c r="O48" s="7" t="s">
        <v>161</v>
      </c>
      <c r="P48" s="17" t="s">
        <v>164</v>
      </c>
      <c r="Q48" s="12">
        <v>1</v>
      </c>
      <c r="R48" s="12">
        <v>1</v>
      </c>
      <c r="S48" s="13" t="s">
        <v>197</v>
      </c>
      <c r="T48" s="12">
        <v>0.5</v>
      </c>
      <c r="U48" s="13"/>
    </row>
  </sheetData>
  <mergeCells count="1">
    <mergeCell ref="A1:K1"/>
  </mergeCells>
  <conditionalFormatting sqref="C45">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zoomScale="60" zoomScaleNormal="60" workbookViewId="0">
      <selection activeCell="C2" sqref="C1:C1048576"/>
    </sheetView>
  </sheetViews>
  <sheetFormatPr defaultColWidth="8.75" defaultRowHeight="14.25" x14ac:dyDescent="0.2"/>
  <cols>
    <col min="1" max="1" width="9.125" style="48" customWidth="1"/>
    <col min="2" max="2" width="15.625" style="48" customWidth="1"/>
    <col min="3" max="3" width="12.125" style="46" bestFit="1" customWidth="1"/>
    <col min="4" max="4" width="7.5" style="46" customWidth="1"/>
    <col min="5" max="5" width="14.625" style="46" customWidth="1"/>
    <col min="6" max="6" width="11.125" style="49" bestFit="1" customWidth="1"/>
    <col min="7" max="7" width="14.5" style="46" customWidth="1"/>
    <col min="8" max="8" width="6.75" style="46" bestFit="1" customWidth="1"/>
    <col min="9" max="9" width="12.375" style="46" customWidth="1"/>
    <col min="10" max="10" width="11.75" style="46" customWidth="1"/>
    <col min="11" max="11" width="14.625" style="46" customWidth="1"/>
    <col min="12" max="12" width="11.5" style="46" customWidth="1"/>
    <col min="13" max="13" width="12" style="46" customWidth="1"/>
    <col min="14" max="14" width="10.75" style="46" customWidth="1"/>
    <col min="15" max="15" width="27.125" style="46" customWidth="1"/>
    <col min="16" max="16" width="95.25" style="50" bestFit="1" customWidth="1"/>
    <col min="17" max="17" width="30.625" style="46" customWidth="1"/>
    <col min="18" max="18" width="19.25" style="46" customWidth="1"/>
    <col min="19" max="20" width="17.875" style="46" customWidth="1"/>
    <col min="21" max="21" width="13.75" style="46" customWidth="1"/>
    <col min="22" max="16384" width="8.75" style="46"/>
  </cols>
  <sheetData>
    <row r="1" spans="1:21" s="43" customFormat="1" ht="54.6" customHeight="1" x14ac:dyDescent="0.2">
      <c r="A1" s="157" t="s">
        <v>170</v>
      </c>
      <c r="B1" s="158"/>
      <c r="C1" s="158"/>
      <c r="D1" s="158"/>
      <c r="E1" s="158"/>
      <c r="F1" s="158"/>
      <c r="G1" s="158"/>
      <c r="H1" s="158"/>
      <c r="I1" s="158"/>
      <c r="J1" s="158"/>
      <c r="K1" s="159"/>
      <c r="L1" s="5"/>
      <c r="M1" s="5"/>
      <c r="N1" s="5"/>
      <c r="O1" s="5"/>
      <c r="P1" s="6"/>
      <c r="Q1" s="5"/>
      <c r="R1" s="5"/>
      <c r="S1" s="5"/>
      <c r="T1" s="5"/>
      <c r="U1" s="5"/>
    </row>
    <row r="2" spans="1:21" s="44" customFormat="1" ht="76.150000000000006" customHeight="1" x14ac:dyDescent="0.2">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ht="148.5" x14ac:dyDescent="0.2">
      <c r="A3" s="19" t="s">
        <v>171</v>
      </c>
      <c r="B3" s="20" t="s">
        <v>198</v>
      </c>
      <c r="C3" s="21" t="s">
        <v>199</v>
      </c>
      <c r="D3" s="21" t="s">
        <v>200</v>
      </c>
      <c r="E3" s="21">
        <v>1988</v>
      </c>
      <c r="F3" s="21">
        <v>2017</v>
      </c>
      <c r="G3" s="22" t="s">
        <v>201</v>
      </c>
      <c r="H3" s="21" t="s">
        <v>171</v>
      </c>
      <c r="I3" s="22" t="s">
        <v>202</v>
      </c>
      <c r="J3" s="21" t="s">
        <v>203</v>
      </c>
      <c r="K3" s="22" t="s">
        <v>204</v>
      </c>
      <c r="L3" s="22" t="s">
        <v>205</v>
      </c>
      <c r="M3" s="21" t="s">
        <v>206</v>
      </c>
      <c r="N3" s="21" t="s">
        <v>7</v>
      </c>
      <c r="O3" s="22" t="s">
        <v>207</v>
      </c>
      <c r="P3" s="22" t="s">
        <v>208</v>
      </c>
      <c r="Q3" s="23">
        <v>1</v>
      </c>
      <c r="R3" s="23">
        <v>1</v>
      </c>
      <c r="S3" s="22" t="s">
        <v>209</v>
      </c>
      <c r="T3" s="23">
        <v>0.5</v>
      </c>
      <c r="U3" s="22"/>
    </row>
    <row r="4" spans="1:21" ht="115.5" x14ac:dyDescent="0.2">
      <c r="A4" s="24" t="s">
        <v>171</v>
      </c>
      <c r="B4" s="25" t="s">
        <v>198</v>
      </c>
      <c r="C4" s="26" t="s">
        <v>210</v>
      </c>
      <c r="D4" s="26" t="s">
        <v>211</v>
      </c>
      <c r="E4" s="26">
        <v>1980</v>
      </c>
      <c r="F4" s="26">
        <v>2006</v>
      </c>
      <c r="G4" s="27" t="s">
        <v>201</v>
      </c>
      <c r="H4" s="26" t="s">
        <v>171</v>
      </c>
      <c r="I4" s="27" t="s">
        <v>212</v>
      </c>
      <c r="J4" s="26" t="s">
        <v>12</v>
      </c>
      <c r="K4" s="26"/>
      <c r="L4" s="26"/>
      <c r="M4" s="26" t="s">
        <v>213</v>
      </c>
      <c r="N4" s="26" t="s">
        <v>7</v>
      </c>
      <c r="O4" s="27" t="s">
        <v>214</v>
      </c>
      <c r="P4" s="27" t="s">
        <v>215</v>
      </c>
      <c r="Q4" s="28">
        <v>1</v>
      </c>
      <c r="R4" s="28">
        <v>1</v>
      </c>
      <c r="S4" s="27" t="s">
        <v>216</v>
      </c>
      <c r="T4" s="28">
        <v>0.5</v>
      </c>
      <c r="U4" s="27"/>
    </row>
    <row r="5" spans="1:21" ht="82.5" x14ac:dyDescent="0.2">
      <c r="A5" s="29" t="s">
        <v>171</v>
      </c>
      <c r="B5" s="30" t="s">
        <v>198</v>
      </c>
      <c r="C5" s="31" t="s">
        <v>217</v>
      </c>
      <c r="D5" s="31" t="s">
        <v>218</v>
      </c>
      <c r="E5" s="31">
        <v>1985</v>
      </c>
      <c r="F5" s="31">
        <v>2009</v>
      </c>
      <c r="G5" s="31" t="s">
        <v>219</v>
      </c>
      <c r="H5" s="31" t="s">
        <v>171</v>
      </c>
      <c r="I5" s="32" t="s">
        <v>220</v>
      </c>
      <c r="J5" s="31" t="s">
        <v>12</v>
      </c>
      <c r="K5" s="31"/>
      <c r="L5" s="31"/>
      <c r="M5" s="31" t="s">
        <v>221</v>
      </c>
      <c r="N5" s="31" t="s">
        <v>7</v>
      </c>
      <c r="O5" s="32" t="s">
        <v>222</v>
      </c>
      <c r="P5" s="32" t="s">
        <v>223</v>
      </c>
      <c r="Q5" s="33">
        <v>1</v>
      </c>
      <c r="R5" s="33">
        <v>1</v>
      </c>
      <c r="S5" s="32" t="s">
        <v>224</v>
      </c>
      <c r="T5" s="33">
        <v>0.5</v>
      </c>
      <c r="U5" s="32"/>
    </row>
    <row r="6" spans="1:21" ht="99" x14ac:dyDescent="0.2">
      <c r="A6" s="24" t="s">
        <v>171</v>
      </c>
      <c r="B6" s="25" t="s">
        <v>198</v>
      </c>
      <c r="C6" s="26" t="s">
        <v>225</v>
      </c>
      <c r="D6" s="26" t="s">
        <v>226</v>
      </c>
      <c r="E6" s="26">
        <v>1989</v>
      </c>
      <c r="F6" s="26">
        <v>2013</v>
      </c>
      <c r="G6" s="26" t="s">
        <v>227</v>
      </c>
      <c r="H6" s="26" t="s">
        <v>171</v>
      </c>
      <c r="I6" s="27" t="s">
        <v>228</v>
      </c>
      <c r="J6" s="26" t="s">
        <v>12</v>
      </c>
      <c r="K6" s="26"/>
      <c r="L6" s="26"/>
      <c r="M6" s="26" t="s">
        <v>221</v>
      </c>
      <c r="N6" s="26" t="s">
        <v>7</v>
      </c>
      <c r="O6" s="27" t="s">
        <v>229</v>
      </c>
      <c r="P6" s="27" t="s">
        <v>230</v>
      </c>
      <c r="Q6" s="28">
        <v>1</v>
      </c>
      <c r="R6" s="28">
        <v>0.8</v>
      </c>
      <c r="S6" s="27" t="s">
        <v>231</v>
      </c>
      <c r="T6" s="28">
        <v>0.5</v>
      </c>
      <c r="U6" s="27" t="s">
        <v>232</v>
      </c>
    </row>
    <row r="7" spans="1:21" ht="132" x14ac:dyDescent="0.2">
      <c r="A7" s="34" t="s">
        <v>171</v>
      </c>
      <c r="B7" s="20" t="s">
        <v>198</v>
      </c>
      <c r="C7" s="35" t="s">
        <v>233</v>
      </c>
      <c r="D7" s="35" t="s">
        <v>234</v>
      </c>
      <c r="E7" s="35">
        <v>1996</v>
      </c>
      <c r="F7" s="35">
        <v>2024</v>
      </c>
      <c r="G7" s="36" t="s">
        <v>235</v>
      </c>
      <c r="H7" s="35" t="s">
        <v>171</v>
      </c>
      <c r="I7" s="35" t="s">
        <v>236</v>
      </c>
      <c r="J7" s="35" t="s">
        <v>12</v>
      </c>
      <c r="K7" s="35"/>
      <c r="L7" s="35"/>
      <c r="M7" s="35" t="s">
        <v>213</v>
      </c>
      <c r="N7" s="35" t="s">
        <v>7</v>
      </c>
      <c r="O7" s="36" t="s">
        <v>237</v>
      </c>
      <c r="P7" s="36" t="s">
        <v>238</v>
      </c>
      <c r="Q7" s="37">
        <v>1</v>
      </c>
      <c r="R7" s="37">
        <v>1</v>
      </c>
      <c r="S7" s="36" t="s">
        <v>239</v>
      </c>
      <c r="T7" s="37">
        <v>0.5</v>
      </c>
      <c r="U7" s="36"/>
    </row>
    <row r="8" spans="1:21" ht="214.5" x14ac:dyDescent="0.2">
      <c r="A8" s="38" t="s">
        <v>171</v>
      </c>
      <c r="B8" s="39" t="s">
        <v>198</v>
      </c>
      <c r="C8" s="40" t="s">
        <v>240</v>
      </c>
      <c r="D8" s="40" t="s">
        <v>241</v>
      </c>
      <c r="E8" s="40">
        <v>1982</v>
      </c>
      <c r="F8" s="40">
        <v>2008</v>
      </c>
      <c r="G8" s="41" t="s">
        <v>242</v>
      </c>
      <c r="H8" s="40" t="s">
        <v>171</v>
      </c>
      <c r="I8" s="40" t="s">
        <v>111</v>
      </c>
      <c r="J8" s="40" t="s">
        <v>203</v>
      </c>
      <c r="K8" s="41" t="s">
        <v>204</v>
      </c>
      <c r="L8" s="41" t="s">
        <v>205</v>
      </c>
      <c r="M8" s="40" t="s">
        <v>221</v>
      </c>
      <c r="N8" s="40" t="s">
        <v>7</v>
      </c>
      <c r="O8" s="41" t="s">
        <v>243</v>
      </c>
      <c r="P8" s="41" t="s">
        <v>244</v>
      </c>
      <c r="Q8" s="42">
        <v>1</v>
      </c>
      <c r="R8" s="42">
        <v>1</v>
      </c>
      <c r="S8" s="41" t="s">
        <v>245</v>
      </c>
      <c r="T8" s="42">
        <v>0.5</v>
      </c>
      <c r="U8" s="41"/>
    </row>
    <row r="9" spans="1:21" ht="115.5" x14ac:dyDescent="0.2">
      <c r="A9" s="34" t="s">
        <v>171</v>
      </c>
      <c r="B9" s="20" t="s">
        <v>198</v>
      </c>
      <c r="C9" s="35" t="s">
        <v>246</v>
      </c>
      <c r="D9" s="35" t="s">
        <v>247</v>
      </c>
      <c r="E9" s="35">
        <v>1998</v>
      </c>
      <c r="F9" s="35">
        <v>2024</v>
      </c>
      <c r="G9" s="35" t="s">
        <v>248</v>
      </c>
      <c r="H9" s="35" t="s">
        <v>173</v>
      </c>
      <c r="I9" s="35" t="s">
        <v>249</v>
      </c>
      <c r="J9" s="35" t="s">
        <v>12</v>
      </c>
      <c r="K9" s="35"/>
      <c r="L9" s="35"/>
      <c r="M9" s="35" t="s">
        <v>221</v>
      </c>
      <c r="N9" s="35" t="s">
        <v>7</v>
      </c>
      <c r="O9" s="36" t="s">
        <v>250</v>
      </c>
      <c r="P9" s="36" t="s">
        <v>251</v>
      </c>
      <c r="Q9" s="37">
        <v>1</v>
      </c>
      <c r="R9" s="37">
        <v>0.95</v>
      </c>
      <c r="S9" s="36" t="s">
        <v>252</v>
      </c>
      <c r="T9" s="37">
        <v>0.5</v>
      </c>
      <c r="U9" s="36"/>
    </row>
    <row r="10" spans="1:21" ht="115.5" x14ac:dyDescent="0.2">
      <c r="A10" s="38" t="s">
        <v>171</v>
      </c>
      <c r="B10" s="39" t="s">
        <v>198</v>
      </c>
      <c r="C10" s="40" t="s">
        <v>253</v>
      </c>
      <c r="D10" s="40" t="s">
        <v>254</v>
      </c>
      <c r="E10" s="40">
        <v>1978</v>
      </c>
      <c r="F10" s="40">
        <v>2003</v>
      </c>
      <c r="G10" s="40" t="s">
        <v>248</v>
      </c>
      <c r="H10" s="40" t="s">
        <v>171</v>
      </c>
      <c r="I10" s="40" t="s">
        <v>255</v>
      </c>
      <c r="J10" s="40" t="s">
        <v>203</v>
      </c>
      <c r="K10" s="41" t="s">
        <v>204</v>
      </c>
      <c r="L10" s="41" t="s">
        <v>205</v>
      </c>
      <c r="M10" s="40" t="s">
        <v>221</v>
      </c>
      <c r="N10" s="40" t="s">
        <v>7</v>
      </c>
      <c r="O10" s="41" t="s">
        <v>256</v>
      </c>
      <c r="P10" s="41" t="s">
        <v>257</v>
      </c>
      <c r="Q10" s="42">
        <v>0.8</v>
      </c>
      <c r="R10" s="42">
        <v>0.5</v>
      </c>
      <c r="S10" s="41" t="s">
        <v>258</v>
      </c>
      <c r="T10" s="42">
        <v>0.5</v>
      </c>
      <c r="U10" s="41"/>
    </row>
    <row r="11" spans="1:21" ht="148.5" x14ac:dyDescent="0.2">
      <c r="A11" s="34" t="s">
        <v>171</v>
      </c>
      <c r="B11" s="20" t="s">
        <v>198</v>
      </c>
      <c r="C11" s="35" t="s">
        <v>259</v>
      </c>
      <c r="D11" s="35" t="s">
        <v>260</v>
      </c>
      <c r="E11" s="35">
        <v>1984</v>
      </c>
      <c r="F11" s="35">
        <v>2006</v>
      </c>
      <c r="G11" s="35" t="s">
        <v>261</v>
      </c>
      <c r="H11" s="35"/>
      <c r="I11" s="35" t="s">
        <v>262</v>
      </c>
      <c r="J11" s="35" t="s">
        <v>203</v>
      </c>
      <c r="K11" s="36" t="s">
        <v>204</v>
      </c>
      <c r="L11" s="36" t="s">
        <v>205</v>
      </c>
      <c r="M11" s="35" t="s">
        <v>221</v>
      </c>
      <c r="N11" s="35" t="s">
        <v>7</v>
      </c>
      <c r="O11" s="36" t="s">
        <v>263</v>
      </c>
      <c r="P11" s="36" t="s">
        <v>264</v>
      </c>
      <c r="Q11" s="37">
        <v>1</v>
      </c>
      <c r="R11" s="37">
        <v>1</v>
      </c>
      <c r="S11" s="36" t="s">
        <v>265</v>
      </c>
      <c r="T11" s="37">
        <v>0.6</v>
      </c>
      <c r="U11" s="36"/>
    </row>
    <row r="12" spans="1:21" ht="66" x14ac:dyDescent="0.2">
      <c r="A12" s="38" t="s">
        <v>171</v>
      </c>
      <c r="B12" s="39" t="s">
        <v>198</v>
      </c>
      <c r="C12" s="40" t="s">
        <v>266</v>
      </c>
      <c r="D12" s="40" t="s">
        <v>267</v>
      </c>
      <c r="E12" s="40">
        <v>1973</v>
      </c>
      <c r="F12" s="40">
        <v>1996</v>
      </c>
      <c r="G12" s="40" t="s">
        <v>268</v>
      </c>
      <c r="H12" s="40"/>
      <c r="I12" s="40" t="s">
        <v>269</v>
      </c>
      <c r="J12" s="40" t="s">
        <v>12</v>
      </c>
      <c r="K12" s="40"/>
      <c r="L12" s="40"/>
      <c r="M12" s="40" t="s">
        <v>213</v>
      </c>
      <c r="N12" s="40" t="s">
        <v>7</v>
      </c>
      <c r="O12" s="41" t="s">
        <v>270</v>
      </c>
      <c r="P12" s="41" t="s">
        <v>271</v>
      </c>
      <c r="Q12" s="42">
        <v>1</v>
      </c>
      <c r="R12" s="42">
        <v>1</v>
      </c>
      <c r="S12" s="41" t="s">
        <v>272</v>
      </c>
      <c r="T12" s="42">
        <v>0.5</v>
      </c>
      <c r="U12" s="41"/>
    </row>
    <row r="13" spans="1:21" ht="66" x14ac:dyDescent="0.2">
      <c r="A13" s="34" t="s">
        <v>171</v>
      </c>
      <c r="B13" s="20" t="s">
        <v>198</v>
      </c>
      <c r="C13" s="35" t="s">
        <v>273</v>
      </c>
      <c r="D13" s="35" t="s">
        <v>90</v>
      </c>
      <c r="E13" s="35">
        <v>1986</v>
      </c>
      <c r="F13" s="35">
        <v>2008</v>
      </c>
      <c r="G13" s="35" t="s">
        <v>274</v>
      </c>
      <c r="H13" s="35"/>
      <c r="I13" s="35" t="s">
        <v>269</v>
      </c>
      <c r="J13" s="35" t="s">
        <v>203</v>
      </c>
      <c r="K13" s="36" t="s">
        <v>275</v>
      </c>
      <c r="L13" s="36" t="s">
        <v>205</v>
      </c>
      <c r="M13" s="35" t="s">
        <v>213</v>
      </c>
      <c r="N13" s="35" t="s">
        <v>7</v>
      </c>
      <c r="O13" s="36" t="s">
        <v>270</v>
      </c>
      <c r="P13" s="36" t="s">
        <v>276</v>
      </c>
      <c r="Q13" s="37">
        <v>1</v>
      </c>
      <c r="R13" s="37">
        <v>1</v>
      </c>
      <c r="S13" s="36" t="s">
        <v>277</v>
      </c>
      <c r="T13" s="37">
        <v>0.6</v>
      </c>
      <c r="U13" s="36"/>
    </row>
    <row r="14" spans="1:21" ht="82.5" x14ac:dyDescent="0.2">
      <c r="A14" s="38" t="s">
        <v>171</v>
      </c>
      <c r="B14" s="39" t="s">
        <v>198</v>
      </c>
      <c r="C14" s="40" t="s">
        <v>278</v>
      </c>
      <c r="D14" s="40" t="s">
        <v>241</v>
      </c>
      <c r="E14" s="40">
        <v>1971</v>
      </c>
      <c r="F14" s="40">
        <v>1999</v>
      </c>
      <c r="G14" s="40" t="s">
        <v>279</v>
      </c>
      <c r="H14" s="40"/>
      <c r="I14" s="40" t="s">
        <v>280</v>
      </c>
      <c r="J14" s="40" t="s">
        <v>203</v>
      </c>
      <c r="K14" s="41" t="s">
        <v>204</v>
      </c>
      <c r="L14" s="41" t="s">
        <v>205</v>
      </c>
      <c r="M14" s="40" t="s">
        <v>221</v>
      </c>
      <c r="N14" s="40" t="s">
        <v>7</v>
      </c>
      <c r="O14" s="40" t="s">
        <v>281</v>
      </c>
      <c r="P14" s="41" t="s">
        <v>282</v>
      </c>
      <c r="Q14" s="42">
        <v>1</v>
      </c>
      <c r="R14" s="42">
        <v>1</v>
      </c>
      <c r="S14" s="41" t="s">
        <v>283</v>
      </c>
      <c r="T14" s="42">
        <v>0.6</v>
      </c>
      <c r="U14" s="41"/>
    </row>
    <row r="15" spans="1:21" ht="82.5" x14ac:dyDescent="0.2">
      <c r="A15" s="34" t="s">
        <v>171</v>
      </c>
      <c r="B15" s="20" t="s">
        <v>198</v>
      </c>
      <c r="C15" s="35" t="s">
        <v>284</v>
      </c>
      <c r="D15" s="35" t="s">
        <v>285</v>
      </c>
      <c r="E15" s="35">
        <v>1976</v>
      </c>
      <c r="F15" s="35">
        <v>2009</v>
      </c>
      <c r="G15" s="35" t="s">
        <v>279</v>
      </c>
      <c r="H15" s="35"/>
      <c r="I15" s="35" t="s">
        <v>286</v>
      </c>
      <c r="J15" s="35" t="s">
        <v>12</v>
      </c>
      <c r="K15" s="35"/>
      <c r="L15" s="35"/>
      <c r="M15" s="35" t="s">
        <v>213</v>
      </c>
      <c r="N15" s="35" t="s">
        <v>7</v>
      </c>
      <c r="O15" s="36" t="s">
        <v>287</v>
      </c>
      <c r="P15" s="36" t="s">
        <v>288</v>
      </c>
      <c r="Q15" s="37">
        <v>1</v>
      </c>
      <c r="R15" s="37">
        <v>1</v>
      </c>
      <c r="S15" s="36" t="s">
        <v>289</v>
      </c>
      <c r="T15" s="37">
        <v>0.5</v>
      </c>
      <c r="U15" s="36"/>
    </row>
    <row r="16" spans="1:21" ht="99" x14ac:dyDescent="0.2">
      <c r="A16" s="38" t="s">
        <v>171</v>
      </c>
      <c r="B16" s="39" t="s">
        <v>198</v>
      </c>
      <c r="C16" s="40" t="s">
        <v>290</v>
      </c>
      <c r="D16" s="40" t="s">
        <v>291</v>
      </c>
      <c r="E16" s="40">
        <v>1979</v>
      </c>
      <c r="F16" s="40">
        <v>2000</v>
      </c>
      <c r="G16" s="40" t="s">
        <v>292</v>
      </c>
      <c r="H16" s="40"/>
      <c r="I16" s="40" t="s">
        <v>293</v>
      </c>
      <c r="J16" s="40" t="s">
        <v>203</v>
      </c>
      <c r="K16" s="41" t="s">
        <v>204</v>
      </c>
      <c r="L16" s="41" t="s">
        <v>205</v>
      </c>
      <c r="M16" s="40" t="s">
        <v>221</v>
      </c>
      <c r="N16" s="40" t="s">
        <v>7</v>
      </c>
      <c r="O16" s="41" t="s">
        <v>294</v>
      </c>
      <c r="P16" s="41" t="s">
        <v>295</v>
      </c>
      <c r="Q16" s="42">
        <v>1</v>
      </c>
      <c r="R16" s="42">
        <v>1</v>
      </c>
      <c r="S16" s="41" t="s">
        <v>296</v>
      </c>
      <c r="T16" s="42">
        <v>0.5</v>
      </c>
      <c r="U16" s="41"/>
    </row>
    <row r="17" spans="1:21" ht="99" x14ac:dyDescent="0.2">
      <c r="A17" s="34" t="s">
        <v>171</v>
      </c>
      <c r="B17" s="20" t="s">
        <v>198</v>
      </c>
      <c r="C17" s="35" t="s">
        <v>297</v>
      </c>
      <c r="D17" s="35" t="s">
        <v>298</v>
      </c>
      <c r="E17" s="35">
        <v>1990</v>
      </c>
      <c r="F17" s="35">
        <v>2009</v>
      </c>
      <c r="G17" s="35" t="s">
        <v>299</v>
      </c>
      <c r="H17" s="35"/>
      <c r="I17" s="35" t="s">
        <v>300</v>
      </c>
      <c r="J17" s="35" t="s">
        <v>12</v>
      </c>
      <c r="K17" s="35"/>
      <c r="L17" s="35"/>
      <c r="M17" s="35" t="s">
        <v>213</v>
      </c>
      <c r="N17" s="35" t="s">
        <v>7</v>
      </c>
      <c r="O17" s="36" t="s">
        <v>301</v>
      </c>
      <c r="P17" s="36" t="s">
        <v>302</v>
      </c>
      <c r="Q17" s="37">
        <v>1</v>
      </c>
      <c r="R17" s="37">
        <v>1</v>
      </c>
      <c r="S17" s="36" t="s">
        <v>303</v>
      </c>
      <c r="T17" s="37">
        <v>0.6</v>
      </c>
      <c r="U17" s="36"/>
    </row>
    <row r="18" spans="1:21" ht="82.5" x14ac:dyDescent="0.2">
      <c r="A18" s="38" t="s">
        <v>171</v>
      </c>
      <c r="B18" s="39" t="s">
        <v>198</v>
      </c>
      <c r="C18" s="40" t="s">
        <v>304</v>
      </c>
      <c r="D18" s="40" t="s">
        <v>305</v>
      </c>
      <c r="E18" s="40">
        <v>1988</v>
      </c>
      <c r="F18" s="40">
        <v>2017</v>
      </c>
      <c r="G18" s="40" t="s">
        <v>299</v>
      </c>
      <c r="H18" s="40"/>
      <c r="I18" s="40" t="s">
        <v>300</v>
      </c>
      <c r="J18" s="40" t="s">
        <v>203</v>
      </c>
      <c r="K18" s="41" t="s">
        <v>204</v>
      </c>
      <c r="L18" s="41" t="s">
        <v>205</v>
      </c>
      <c r="M18" s="40" t="s">
        <v>213</v>
      </c>
      <c r="N18" s="40" t="s">
        <v>7</v>
      </c>
      <c r="O18" s="41" t="s">
        <v>306</v>
      </c>
      <c r="P18" s="41" t="s">
        <v>307</v>
      </c>
      <c r="Q18" s="42">
        <v>1</v>
      </c>
      <c r="R18" s="42">
        <v>1</v>
      </c>
      <c r="S18" s="41" t="s">
        <v>308</v>
      </c>
      <c r="T18" s="42">
        <v>0.5</v>
      </c>
      <c r="U18" s="41"/>
    </row>
    <row r="19" spans="1:21" ht="66" x14ac:dyDescent="0.2">
      <c r="A19" s="34" t="s">
        <v>171</v>
      </c>
      <c r="B19" s="20" t="s">
        <v>198</v>
      </c>
      <c r="C19" s="35" t="s">
        <v>309</v>
      </c>
      <c r="D19" s="35" t="s">
        <v>310</v>
      </c>
      <c r="E19" s="35">
        <v>1977</v>
      </c>
      <c r="F19" s="35">
        <v>2007</v>
      </c>
      <c r="G19" s="35" t="s">
        <v>299</v>
      </c>
      <c r="H19" s="35"/>
      <c r="I19" s="35" t="s">
        <v>311</v>
      </c>
      <c r="J19" s="35" t="s">
        <v>312</v>
      </c>
      <c r="K19" s="35" t="s">
        <v>313</v>
      </c>
      <c r="L19" s="36" t="s">
        <v>205</v>
      </c>
      <c r="M19" s="35" t="s">
        <v>213</v>
      </c>
      <c r="N19" s="35" t="s">
        <v>7</v>
      </c>
      <c r="O19" s="36" t="s">
        <v>314</v>
      </c>
      <c r="P19" s="36" t="s">
        <v>315</v>
      </c>
      <c r="Q19" s="37">
        <v>1</v>
      </c>
      <c r="R19" s="37">
        <v>1</v>
      </c>
      <c r="S19" s="36" t="s">
        <v>316</v>
      </c>
      <c r="T19" s="37">
        <v>0.3</v>
      </c>
      <c r="U19" s="36"/>
    </row>
    <row r="20" spans="1:21" ht="66" x14ac:dyDescent="0.2">
      <c r="A20" s="38" t="s">
        <v>171</v>
      </c>
      <c r="B20" s="39" t="s">
        <v>198</v>
      </c>
      <c r="C20" s="40" t="s">
        <v>317</v>
      </c>
      <c r="D20" s="40" t="s">
        <v>318</v>
      </c>
      <c r="E20" s="40">
        <v>1977</v>
      </c>
      <c r="F20" s="40">
        <v>2011</v>
      </c>
      <c r="G20" s="40" t="s">
        <v>299</v>
      </c>
      <c r="H20" s="40"/>
      <c r="I20" s="40" t="s">
        <v>319</v>
      </c>
      <c r="J20" s="40" t="s">
        <v>312</v>
      </c>
      <c r="K20" s="40" t="s">
        <v>169</v>
      </c>
      <c r="L20" s="41" t="s">
        <v>205</v>
      </c>
      <c r="M20" s="40" t="s">
        <v>213</v>
      </c>
      <c r="N20" s="40" t="s">
        <v>7</v>
      </c>
      <c r="O20" s="41" t="s">
        <v>314</v>
      </c>
      <c r="P20" s="41" t="s">
        <v>315</v>
      </c>
      <c r="Q20" s="42">
        <v>1</v>
      </c>
      <c r="R20" s="42">
        <v>1</v>
      </c>
      <c r="S20" s="41" t="s">
        <v>316</v>
      </c>
      <c r="T20" s="42">
        <v>0.3</v>
      </c>
      <c r="U20" s="41"/>
    </row>
    <row r="21" spans="1:21" ht="66" x14ac:dyDescent="0.2">
      <c r="A21" s="34" t="s">
        <v>171</v>
      </c>
      <c r="B21" s="20" t="s">
        <v>198</v>
      </c>
      <c r="C21" s="35" t="s">
        <v>320</v>
      </c>
      <c r="D21" s="35" t="s">
        <v>83</v>
      </c>
      <c r="E21" s="35">
        <v>1996</v>
      </c>
      <c r="F21" s="35">
        <v>2020</v>
      </c>
      <c r="G21" s="35" t="s">
        <v>299</v>
      </c>
      <c r="H21" s="35"/>
      <c r="I21" s="35" t="s">
        <v>319</v>
      </c>
      <c r="J21" s="35" t="s">
        <v>312</v>
      </c>
      <c r="K21" s="35" t="s">
        <v>313</v>
      </c>
      <c r="L21" s="36" t="s">
        <v>205</v>
      </c>
      <c r="M21" s="35" t="s">
        <v>213</v>
      </c>
      <c r="N21" s="35" t="s">
        <v>7</v>
      </c>
      <c r="O21" s="36" t="s">
        <v>314</v>
      </c>
      <c r="P21" s="36" t="s">
        <v>315</v>
      </c>
      <c r="Q21" s="37">
        <v>1</v>
      </c>
      <c r="R21" s="37">
        <v>1</v>
      </c>
      <c r="S21" s="36" t="s">
        <v>316</v>
      </c>
      <c r="T21" s="37">
        <v>0.3</v>
      </c>
      <c r="U21" s="36"/>
    </row>
    <row r="22" spans="1:21" ht="63" x14ac:dyDescent="0.2">
      <c r="A22" s="38" t="s">
        <v>171</v>
      </c>
      <c r="B22" s="39" t="s">
        <v>198</v>
      </c>
      <c r="C22" s="40" t="s">
        <v>321</v>
      </c>
      <c r="D22" s="40" t="s">
        <v>322</v>
      </c>
      <c r="E22" s="40">
        <v>1981</v>
      </c>
      <c r="F22" s="40">
        <v>2010</v>
      </c>
      <c r="G22" s="40" t="s">
        <v>299</v>
      </c>
      <c r="H22" s="40"/>
      <c r="I22" s="40" t="s">
        <v>319</v>
      </c>
      <c r="J22" s="40" t="s">
        <v>12</v>
      </c>
      <c r="K22" s="40"/>
      <c r="L22" s="40"/>
      <c r="M22" s="40" t="s">
        <v>213</v>
      </c>
      <c r="N22" s="40" t="s">
        <v>7</v>
      </c>
      <c r="O22" s="41" t="s">
        <v>314</v>
      </c>
      <c r="P22" s="41" t="s">
        <v>315</v>
      </c>
      <c r="Q22" s="42">
        <v>1</v>
      </c>
      <c r="R22" s="42">
        <v>1</v>
      </c>
      <c r="S22" s="41" t="s">
        <v>316</v>
      </c>
      <c r="T22" s="42">
        <v>0.3</v>
      </c>
      <c r="U22" s="41"/>
    </row>
    <row r="23" spans="1:21" ht="63" x14ac:dyDescent="0.2">
      <c r="A23" s="34" t="s">
        <v>171</v>
      </c>
      <c r="B23" s="20" t="s">
        <v>198</v>
      </c>
      <c r="C23" s="35" t="s">
        <v>323</v>
      </c>
      <c r="D23" s="35" t="s">
        <v>324</v>
      </c>
      <c r="E23" s="35">
        <v>1983</v>
      </c>
      <c r="F23" s="35">
        <v>2017</v>
      </c>
      <c r="G23" s="35" t="s">
        <v>299</v>
      </c>
      <c r="H23" s="35"/>
      <c r="I23" s="35" t="s">
        <v>319</v>
      </c>
      <c r="J23" s="35" t="s">
        <v>12</v>
      </c>
      <c r="K23" s="35"/>
      <c r="L23" s="35"/>
      <c r="M23" s="35" t="s">
        <v>221</v>
      </c>
      <c r="N23" s="35" t="s">
        <v>7</v>
      </c>
      <c r="O23" s="35" t="s">
        <v>325</v>
      </c>
      <c r="P23" s="36" t="s">
        <v>326</v>
      </c>
      <c r="Q23" s="37">
        <v>0.5</v>
      </c>
      <c r="R23" s="37">
        <v>1</v>
      </c>
      <c r="S23" s="36" t="s">
        <v>327</v>
      </c>
      <c r="T23" s="37">
        <v>0.3</v>
      </c>
      <c r="U23" s="36"/>
    </row>
  </sheetData>
  <mergeCells count="1">
    <mergeCell ref="A1:K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
  <sheetViews>
    <sheetView zoomScale="60" zoomScaleNormal="60" workbookViewId="0">
      <selection activeCell="A3" sqref="A3:XFD15"/>
    </sheetView>
  </sheetViews>
  <sheetFormatPr defaultColWidth="8.75" defaultRowHeight="14.25" x14ac:dyDescent="0.2"/>
  <cols>
    <col min="1" max="1" width="14.875" style="48" customWidth="1"/>
    <col min="2" max="2" width="15.625" style="48" customWidth="1"/>
    <col min="3" max="3" width="12.125" style="46" bestFit="1" customWidth="1"/>
    <col min="4" max="4" width="7.5" style="46" customWidth="1"/>
    <col min="5" max="5" width="14.625" style="46" customWidth="1"/>
    <col min="6" max="6" width="11.125" style="49" bestFit="1" customWidth="1"/>
    <col min="7" max="7" width="14.5" style="46" customWidth="1"/>
    <col min="8" max="8" width="6.75" style="46" bestFit="1" customWidth="1"/>
    <col min="9" max="9" width="17.25" style="46" customWidth="1"/>
    <col min="10" max="10" width="17" style="46" customWidth="1"/>
    <col min="11" max="11" width="14.625" style="46" customWidth="1"/>
    <col min="12" max="12" width="11.5" style="46" customWidth="1"/>
    <col min="13" max="13" width="12" style="46" customWidth="1"/>
    <col min="14" max="14" width="10.75" style="46" customWidth="1"/>
    <col min="15" max="15" width="34.75" style="46" customWidth="1"/>
    <col min="16" max="16" width="95.25" style="50" bestFit="1" customWidth="1"/>
    <col min="17" max="17" width="30.625" style="46" customWidth="1"/>
    <col min="18" max="18" width="19.25" style="46" customWidth="1"/>
    <col min="19" max="20" width="17.875" style="46" customWidth="1"/>
    <col min="21" max="21" width="13.75" style="46" customWidth="1"/>
    <col min="22" max="16384" width="8.75" style="46"/>
  </cols>
  <sheetData>
    <row r="1" spans="1:21" s="43" customFormat="1" ht="54.6" customHeight="1" x14ac:dyDescent="0.2">
      <c r="A1" s="157" t="s">
        <v>170</v>
      </c>
      <c r="B1" s="158"/>
      <c r="C1" s="158"/>
      <c r="D1" s="158"/>
      <c r="E1" s="158"/>
      <c r="F1" s="158"/>
      <c r="G1" s="158"/>
      <c r="H1" s="158"/>
      <c r="I1" s="158"/>
      <c r="J1" s="158"/>
      <c r="K1" s="159"/>
      <c r="L1" s="5"/>
      <c r="M1" s="5"/>
      <c r="N1" s="5"/>
      <c r="O1" s="5"/>
      <c r="P1" s="6"/>
      <c r="Q1" s="5"/>
      <c r="R1" s="5"/>
      <c r="S1" s="5"/>
      <c r="T1" s="5"/>
      <c r="U1" s="5"/>
    </row>
    <row r="2" spans="1:21" s="44" customFormat="1" ht="76.150000000000006" customHeight="1" x14ac:dyDescent="0.2">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customFormat="1" ht="72" x14ac:dyDescent="0.25">
      <c r="A3" s="60" t="s">
        <v>171</v>
      </c>
      <c r="B3" s="66" t="s">
        <v>328</v>
      </c>
      <c r="C3" s="61" t="s">
        <v>329</v>
      </c>
      <c r="D3" s="61" t="s">
        <v>330</v>
      </c>
      <c r="E3" s="61">
        <v>1991</v>
      </c>
      <c r="F3" s="63">
        <v>2017</v>
      </c>
      <c r="G3" s="63" t="s">
        <v>331</v>
      </c>
      <c r="H3" s="61" t="s">
        <v>171</v>
      </c>
      <c r="I3" s="61" t="s">
        <v>11</v>
      </c>
      <c r="J3" s="61" t="s">
        <v>12</v>
      </c>
      <c r="K3" s="63"/>
      <c r="L3" s="61"/>
      <c r="M3" s="61" t="s">
        <v>15</v>
      </c>
      <c r="N3" s="61" t="s">
        <v>7</v>
      </c>
      <c r="O3" s="63" t="s">
        <v>332</v>
      </c>
      <c r="P3" s="109" t="s">
        <v>333</v>
      </c>
      <c r="Q3" s="65">
        <v>1</v>
      </c>
      <c r="R3" s="61">
        <v>100</v>
      </c>
      <c r="S3" s="63" t="str">
        <f>$S$5</f>
        <v>صيانة ومتابعة الآلات المكتبية +IT</v>
      </c>
      <c r="T3" s="61">
        <v>80</v>
      </c>
      <c r="U3" s="61" t="s">
        <v>334</v>
      </c>
    </row>
    <row r="4" spans="1:21" customFormat="1" ht="54" x14ac:dyDescent="0.2">
      <c r="A4" s="60" t="str">
        <f t="shared" ref="A4:A14" ca="1" si="0">$A$4</f>
        <v>دمشق</v>
      </c>
      <c r="B4" s="66" t="s">
        <v>328</v>
      </c>
      <c r="C4" s="61" t="s">
        <v>335</v>
      </c>
      <c r="D4" s="61" t="s">
        <v>336</v>
      </c>
      <c r="E4" s="61">
        <v>1978</v>
      </c>
      <c r="F4" s="63">
        <v>2001</v>
      </c>
      <c r="G4" s="63" t="s">
        <v>331</v>
      </c>
      <c r="H4" s="61" t="s">
        <v>171</v>
      </c>
      <c r="I4" s="61" t="s">
        <v>337</v>
      </c>
      <c r="J4" s="61" t="s">
        <v>338</v>
      </c>
      <c r="K4" s="63" t="s">
        <v>339</v>
      </c>
      <c r="L4" s="61" t="s">
        <v>340</v>
      </c>
      <c r="M4" s="61" t="s">
        <v>15</v>
      </c>
      <c r="N4" s="61" t="s">
        <v>7</v>
      </c>
      <c r="O4" s="63" t="s">
        <v>341</v>
      </c>
      <c r="P4" s="75" t="s">
        <v>342</v>
      </c>
      <c r="Q4" s="65">
        <v>1</v>
      </c>
      <c r="R4" s="61">
        <v>100</v>
      </c>
      <c r="S4" s="63" t="s">
        <v>343</v>
      </c>
      <c r="T4" s="61">
        <v>80</v>
      </c>
      <c r="U4" s="61"/>
    </row>
    <row r="5" spans="1:21" customFormat="1" ht="33" x14ac:dyDescent="0.2">
      <c r="A5" s="60" t="str">
        <f t="shared" ca="1" si="0"/>
        <v>دمشق</v>
      </c>
      <c r="B5" s="66" t="s">
        <v>328</v>
      </c>
      <c r="C5" s="61" t="s">
        <v>344</v>
      </c>
      <c r="D5" s="61" t="s">
        <v>81</v>
      </c>
      <c r="E5" s="61">
        <v>1998</v>
      </c>
      <c r="F5" s="63">
        <v>2024</v>
      </c>
      <c r="G5" s="63" t="s">
        <v>345</v>
      </c>
      <c r="H5" s="61" t="s">
        <v>171</v>
      </c>
      <c r="I5" s="61" t="s">
        <v>346</v>
      </c>
      <c r="J5" s="61" t="str">
        <f>$J$4</f>
        <v xml:space="preserve">مكلف من </v>
      </c>
      <c r="K5" s="63"/>
      <c r="L5" s="61"/>
      <c r="M5" s="61" t="s">
        <v>15</v>
      </c>
      <c r="N5" s="61" t="s">
        <v>7</v>
      </c>
      <c r="O5" s="78" t="s">
        <v>347</v>
      </c>
      <c r="P5" s="63" t="s">
        <v>348</v>
      </c>
      <c r="Q5" s="65">
        <v>1</v>
      </c>
      <c r="R5" s="61">
        <v>100</v>
      </c>
      <c r="S5" s="63" t="s">
        <v>349</v>
      </c>
      <c r="T5" s="61">
        <v>80</v>
      </c>
      <c r="U5" s="64"/>
    </row>
    <row r="6" spans="1:21" customFormat="1" ht="49.5" x14ac:dyDescent="0.2">
      <c r="A6" s="60" t="str">
        <f t="shared" ca="1" si="0"/>
        <v>دمشق</v>
      </c>
      <c r="B6" s="66" t="s">
        <v>328</v>
      </c>
      <c r="C6" s="61" t="s">
        <v>350</v>
      </c>
      <c r="D6" s="61" t="s">
        <v>73</v>
      </c>
      <c r="E6" s="61">
        <v>1990</v>
      </c>
      <c r="F6" s="63">
        <v>2021</v>
      </c>
      <c r="G6" s="63" t="s">
        <v>351</v>
      </c>
      <c r="H6" s="61" t="s">
        <v>171</v>
      </c>
      <c r="I6" s="110" t="s">
        <v>111</v>
      </c>
      <c r="J6" s="61" t="str">
        <f>$J$4</f>
        <v xml:space="preserve">مكلف من </v>
      </c>
      <c r="K6" s="63"/>
      <c r="L6" s="61"/>
      <c r="M6" s="61" t="str">
        <f>[1]Sheet1!$M$5</f>
        <v>مناوبات مسائي</v>
      </c>
      <c r="N6" s="61" t="s">
        <v>7</v>
      </c>
      <c r="O6" s="63" t="s">
        <v>352</v>
      </c>
      <c r="P6" s="63" t="s">
        <v>353</v>
      </c>
      <c r="Q6" s="65">
        <v>0.8</v>
      </c>
      <c r="R6" s="61">
        <v>80</v>
      </c>
      <c r="S6" s="111" t="s">
        <v>354</v>
      </c>
      <c r="T6" s="61">
        <v>80</v>
      </c>
      <c r="U6" s="61"/>
    </row>
    <row r="7" spans="1:21" customFormat="1" ht="82.5" x14ac:dyDescent="0.2">
      <c r="A7" s="60" t="str">
        <f t="shared" ca="1" si="0"/>
        <v>دمشق</v>
      </c>
      <c r="B7" s="66" t="s">
        <v>328</v>
      </c>
      <c r="C7" s="61" t="s">
        <v>355</v>
      </c>
      <c r="D7" s="61" t="s">
        <v>356</v>
      </c>
      <c r="E7" s="61">
        <v>1983</v>
      </c>
      <c r="F7" s="63">
        <v>2011</v>
      </c>
      <c r="G7" s="63" t="s">
        <v>357</v>
      </c>
      <c r="H7" s="61" t="s">
        <v>171</v>
      </c>
      <c r="I7" s="61" t="s">
        <v>358</v>
      </c>
      <c r="J7" s="61" t="str">
        <f>$J$4</f>
        <v xml:space="preserve">مكلف من </v>
      </c>
      <c r="K7" s="63"/>
      <c r="L7" s="61"/>
      <c r="M7" s="61" t="str">
        <f>[1]Sheet1!$M$5</f>
        <v>مناوبات مسائي</v>
      </c>
      <c r="N7" s="61" t="s">
        <v>7</v>
      </c>
      <c r="O7" s="63" t="s">
        <v>359</v>
      </c>
      <c r="P7" s="63" t="s">
        <v>360</v>
      </c>
      <c r="Q7" s="112">
        <v>0.8</v>
      </c>
      <c r="R7" s="61">
        <v>70</v>
      </c>
      <c r="S7" s="61" t="s">
        <v>361</v>
      </c>
      <c r="T7" s="61">
        <v>80</v>
      </c>
      <c r="U7" s="61"/>
    </row>
    <row r="8" spans="1:21" customFormat="1" ht="33" x14ac:dyDescent="0.2">
      <c r="A8" s="60" t="str">
        <f t="shared" ca="1" si="0"/>
        <v>دمشق</v>
      </c>
      <c r="B8" s="66" t="s">
        <v>328</v>
      </c>
      <c r="C8" s="61" t="s">
        <v>362</v>
      </c>
      <c r="D8" s="61" t="s">
        <v>90</v>
      </c>
      <c r="E8" s="61">
        <v>1984</v>
      </c>
      <c r="F8" s="63">
        <v>2004</v>
      </c>
      <c r="G8" s="63" t="str">
        <f>[1]Sheet1!$I$6</f>
        <v>فني صيانة تجهيزات طبية</v>
      </c>
      <c r="H8" s="61" t="s">
        <v>171</v>
      </c>
      <c r="I8" s="61" t="str">
        <f>$G$9</f>
        <v>فني صيانة تجهيزات طبية</v>
      </c>
      <c r="J8" s="61" t="str">
        <f>$J$4</f>
        <v xml:space="preserve">مكلف من </v>
      </c>
      <c r="K8" s="63"/>
      <c r="L8" s="61"/>
      <c r="M8" s="61" t="str">
        <f>[1]Sheet1!$M$5</f>
        <v>مناوبات مسائي</v>
      </c>
      <c r="N8" s="61" t="s">
        <v>7</v>
      </c>
      <c r="O8" s="63" t="str">
        <f>$O$5</f>
        <v xml:space="preserve">IT+ صيانة ومتابعة الآلات المكتبية +صيانة ومتابعة كميرات المراقبة </v>
      </c>
      <c r="P8" s="63" t="s">
        <v>363</v>
      </c>
      <c r="Q8" s="65">
        <v>0.8</v>
      </c>
      <c r="R8" s="61">
        <v>100</v>
      </c>
      <c r="S8" s="63" t="str">
        <f>$S$5</f>
        <v>صيانة ومتابعة الآلات المكتبية +IT</v>
      </c>
      <c r="T8" s="61">
        <v>80</v>
      </c>
      <c r="U8" s="61"/>
    </row>
    <row r="9" spans="1:21" customFormat="1" ht="33" x14ac:dyDescent="0.2">
      <c r="A9" s="60" t="str">
        <f t="shared" ca="1" si="0"/>
        <v>دمشق</v>
      </c>
      <c r="B9" s="66" t="s">
        <v>328</v>
      </c>
      <c r="C9" s="61" t="s">
        <v>364</v>
      </c>
      <c r="D9" s="61" t="s">
        <v>73</v>
      </c>
      <c r="E9" s="61">
        <v>1986</v>
      </c>
      <c r="F9" s="63">
        <v>2008</v>
      </c>
      <c r="G9" s="63" t="str">
        <f>[1]Sheet1!$I$6</f>
        <v>فني صيانة تجهيزات طبية</v>
      </c>
      <c r="H9" s="61" t="s">
        <v>171</v>
      </c>
      <c r="I9" s="61" t="str">
        <f>$G$9</f>
        <v>فني صيانة تجهيزات طبية</v>
      </c>
      <c r="J9" s="61" t="s">
        <v>338</v>
      </c>
      <c r="K9" s="63">
        <f>$K$5</f>
        <v>0</v>
      </c>
      <c r="L9" s="61">
        <f>$L$5</f>
        <v>0</v>
      </c>
      <c r="M9" s="61" t="str">
        <f>$M$5</f>
        <v>اداري صباحي</v>
      </c>
      <c r="N9" s="61" t="s">
        <v>7</v>
      </c>
      <c r="O9" s="63" t="str">
        <f>$O$5</f>
        <v xml:space="preserve">IT+ صيانة ومتابعة الآلات المكتبية +صيانة ومتابعة كميرات المراقبة </v>
      </c>
      <c r="P9" s="63" t="s">
        <v>365</v>
      </c>
      <c r="Q9" s="65">
        <v>0.9</v>
      </c>
      <c r="R9" s="61">
        <v>100</v>
      </c>
      <c r="S9" s="63" t="str">
        <f>$S$5</f>
        <v>صيانة ومتابعة الآلات المكتبية +IT</v>
      </c>
      <c r="T9" s="61">
        <v>90</v>
      </c>
      <c r="U9" s="61"/>
    </row>
    <row r="10" spans="1:21" customFormat="1" ht="33" x14ac:dyDescent="0.2">
      <c r="A10" s="60" t="str">
        <f t="shared" ca="1" si="0"/>
        <v>دمشق</v>
      </c>
      <c r="B10" s="66" t="s">
        <v>328</v>
      </c>
      <c r="C10" s="61" t="s">
        <v>366</v>
      </c>
      <c r="D10" s="61" t="s">
        <v>73</v>
      </c>
      <c r="E10" s="61">
        <v>1988</v>
      </c>
      <c r="F10" s="63">
        <v>2009</v>
      </c>
      <c r="G10" s="63" t="str">
        <f>[1]Sheet1!$I$6</f>
        <v>فني صيانة تجهيزات طبية</v>
      </c>
      <c r="H10" s="61" t="s">
        <v>171</v>
      </c>
      <c r="I10" s="61" t="str">
        <f>$G$9</f>
        <v>فني صيانة تجهيزات طبية</v>
      </c>
      <c r="J10" s="61" t="s">
        <v>338</v>
      </c>
      <c r="K10" s="63">
        <f>$K$5</f>
        <v>0</v>
      </c>
      <c r="L10" s="61">
        <f>$L$5</f>
        <v>0</v>
      </c>
      <c r="M10" s="61" t="str">
        <f>$M$5</f>
        <v>اداري صباحي</v>
      </c>
      <c r="N10" s="61" t="s">
        <v>7</v>
      </c>
      <c r="O10" s="63" t="str">
        <f>$O$5</f>
        <v xml:space="preserve">IT+ صيانة ومتابعة الآلات المكتبية +صيانة ومتابعة كميرات المراقبة </v>
      </c>
      <c r="P10" s="63" t="s">
        <v>367</v>
      </c>
      <c r="Q10" s="65">
        <v>0.9</v>
      </c>
      <c r="R10" s="61">
        <v>100</v>
      </c>
      <c r="S10" s="63" t="str">
        <f>$S$5</f>
        <v>صيانة ومتابعة الآلات المكتبية +IT</v>
      </c>
      <c r="T10" s="61">
        <v>90</v>
      </c>
      <c r="U10" s="61"/>
    </row>
    <row r="11" spans="1:21" customFormat="1" ht="60" customHeight="1" x14ac:dyDescent="0.2">
      <c r="A11" s="60" t="str">
        <f t="shared" ca="1" si="0"/>
        <v>دمشق</v>
      </c>
      <c r="B11" s="60" t="s">
        <v>328</v>
      </c>
      <c r="C11" s="61" t="s">
        <v>368</v>
      </c>
      <c r="D11" s="61" t="s">
        <v>369</v>
      </c>
      <c r="E11" s="61">
        <v>1979</v>
      </c>
      <c r="F11" s="63" t="s">
        <v>370</v>
      </c>
      <c r="G11" s="63" t="s">
        <v>371</v>
      </c>
      <c r="H11" s="61" t="s">
        <v>171</v>
      </c>
      <c r="I11" s="61" t="s">
        <v>372</v>
      </c>
      <c r="J11" s="61" t="str">
        <f>$J$4</f>
        <v xml:space="preserve">مكلف من </v>
      </c>
      <c r="K11" s="63"/>
      <c r="L11" s="61"/>
      <c r="M11" s="61" t="str">
        <f>$M$9</f>
        <v>اداري صباحي</v>
      </c>
      <c r="N11" s="61" t="s">
        <v>7</v>
      </c>
      <c r="O11" s="63" t="s">
        <v>373</v>
      </c>
      <c r="P11" s="63" t="s">
        <v>374</v>
      </c>
      <c r="Q11" s="65">
        <f>$Q$4</f>
        <v>1</v>
      </c>
      <c r="R11" s="65">
        <f>$Q$4</f>
        <v>1</v>
      </c>
      <c r="S11" s="63" t="s">
        <v>375</v>
      </c>
      <c r="T11" s="61">
        <v>90</v>
      </c>
      <c r="U11" s="61"/>
    </row>
    <row r="12" spans="1:21" customFormat="1" ht="60" customHeight="1" x14ac:dyDescent="0.2">
      <c r="A12" s="60" t="str">
        <f t="shared" ca="1" si="0"/>
        <v>دمشق</v>
      </c>
      <c r="B12" s="60" t="s">
        <v>328</v>
      </c>
      <c r="C12" s="61" t="s">
        <v>376</v>
      </c>
      <c r="D12" s="61" t="s">
        <v>377</v>
      </c>
      <c r="E12" s="61">
        <v>1989</v>
      </c>
      <c r="F12" s="63">
        <v>2017</v>
      </c>
      <c r="G12" s="63" t="s">
        <v>378</v>
      </c>
      <c r="H12" s="61" t="s">
        <v>171</v>
      </c>
      <c r="I12" s="61" t="s">
        <v>379</v>
      </c>
      <c r="J12" s="61" t="str">
        <f>J10</f>
        <v xml:space="preserve">مكلف من </v>
      </c>
      <c r="K12" s="63">
        <f>K10</f>
        <v>0</v>
      </c>
      <c r="L12" s="61">
        <f>L10</f>
        <v>0</v>
      </c>
      <c r="M12" s="61" t="str">
        <f>$M$9</f>
        <v>اداري صباحي</v>
      </c>
      <c r="N12" s="61" t="s">
        <v>7</v>
      </c>
      <c r="O12" s="63" t="s">
        <v>380</v>
      </c>
      <c r="P12" s="63" t="s">
        <v>381</v>
      </c>
      <c r="Q12" s="65">
        <v>0.7</v>
      </c>
      <c r="R12" s="61">
        <v>100</v>
      </c>
      <c r="S12" s="61" t="s">
        <v>382</v>
      </c>
      <c r="T12" s="61">
        <v>60</v>
      </c>
      <c r="U12" s="61" t="s">
        <v>334</v>
      </c>
    </row>
    <row r="13" spans="1:21" customFormat="1" ht="16.5" x14ac:dyDescent="0.2">
      <c r="A13" s="60" t="str">
        <f t="shared" ca="1" si="0"/>
        <v>دمشق</v>
      </c>
      <c r="B13" s="60" t="s">
        <v>328</v>
      </c>
      <c r="C13" s="61" t="s">
        <v>383</v>
      </c>
      <c r="D13" s="61" t="s">
        <v>384</v>
      </c>
      <c r="E13" s="61">
        <v>1977</v>
      </c>
      <c r="F13" s="63">
        <v>2000</v>
      </c>
      <c r="G13" s="63" t="s">
        <v>385</v>
      </c>
      <c r="H13" s="61" t="s">
        <v>171</v>
      </c>
      <c r="I13" s="61" t="s">
        <v>386</v>
      </c>
      <c r="J13" s="61" t="str">
        <f>$J$12</f>
        <v xml:space="preserve">مكلف من </v>
      </c>
      <c r="K13" s="63"/>
      <c r="L13" s="61"/>
      <c r="M13" s="61" t="str">
        <f>$M$11</f>
        <v>اداري صباحي</v>
      </c>
      <c r="N13" s="61" t="s">
        <v>7</v>
      </c>
      <c r="O13" s="63" t="s">
        <v>387</v>
      </c>
      <c r="P13" s="63" t="s">
        <v>388</v>
      </c>
      <c r="Q13" s="65">
        <v>0.9</v>
      </c>
      <c r="R13" s="61">
        <v>100</v>
      </c>
      <c r="S13" s="61" t="s">
        <v>389</v>
      </c>
      <c r="T13" s="61">
        <v>90</v>
      </c>
      <c r="U13" s="61"/>
    </row>
    <row r="14" spans="1:21" customFormat="1" ht="16.5" x14ac:dyDescent="0.2">
      <c r="A14" s="113" t="str">
        <f t="shared" ca="1" si="0"/>
        <v>دمشق</v>
      </c>
      <c r="B14" s="113" t="s">
        <v>328</v>
      </c>
      <c r="C14" s="114" t="s">
        <v>390</v>
      </c>
      <c r="D14" s="114" t="s">
        <v>90</v>
      </c>
      <c r="E14" s="114">
        <v>1968</v>
      </c>
      <c r="F14" s="115">
        <v>1990</v>
      </c>
      <c r="G14" s="115" t="s">
        <v>391</v>
      </c>
      <c r="H14" s="114" t="s">
        <v>171</v>
      </c>
      <c r="I14" s="114" t="s">
        <v>386</v>
      </c>
      <c r="J14" s="114" t="str">
        <f>$J$12</f>
        <v xml:space="preserve">مكلف من </v>
      </c>
      <c r="K14" s="115"/>
      <c r="L14" s="114"/>
      <c r="M14" s="114" t="str">
        <f>$M$11</f>
        <v>اداري صباحي</v>
      </c>
      <c r="N14" s="114" t="s">
        <v>7</v>
      </c>
      <c r="O14" s="115" t="s">
        <v>392</v>
      </c>
      <c r="P14" s="115" t="s">
        <v>393</v>
      </c>
      <c r="Q14" s="116">
        <v>0.6</v>
      </c>
      <c r="R14" s="114">
        <v>50</v>
      </c>
      <c r="S14" s="114" t="s">
        <v>394</v>
      </c>
      <c r="T14" s="114">
        <v>70</v>
      </c>
      <c r="U14" s="114"/>
    </row>
    <row r="15" spans="1:21" s="117" customFormat="1" ht="16.5" x14ac:dyDescent="0.2">
      <c r="A15" s="60" t="s">
        <v>171</v>
      </c>
      <c r="B15" s="60" t="s">
        <v>328</v>
      </c>
      <c r="C15" s="61" t="s">
        <v>395</v>
      </c>
      <c r="D15" s="61" t="s">
        <v>73</v>
      </c>
      <c r="E15" s="61">
        <v>1980</v>
      </c>
      <c r="F15" s="63">
        <v>2021</v>
      </c>
      <c r="G15" s="63" t="s">
        <v>396</v>
      </c>
      <c r="H15" s="61" t="s">
        <v>171</v>
      </c>
      <c r="I15" s="61" t="s">
        <v>397</v>
      </c>
      <c r="J15" s="61" t="s">
        <v>398</v>
      </c>
      <c r="K15" s="63"/>
      <c r="L15" s="61"/>
      <c r="M15" s="61" t="str">
        <f>$M$9</f>
        <v>اداري صباحي</v>
      </c>
      <c r="N15" s="61" t="s">
        <v>7</v>
      </c>
      <c r="O15" s="63" t="s">
        <v>140</v>
      </c>
      <c r="P15" s="63" t="s">
        <v>399</v>
      </c>
      <c r="Q15" s="65">
        <v>0.6</v>
      </c>
      <c r="R15" s="61">
        <v>100</v>
      </c>
      <c r="S15" s="61"/>
      <c r="T15" s="61">
        <v>50</v>
      </c>
      <c r="U15" s="61"/>
    </row>
  </sheetData>
  <mergeCells count="1">
    <mergeCell ref="A1:K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
  <sheetViews>
    <sheetView zoomScale="60" zoomScaleNormal="60" workbookViewId="0">
      <selection activeCell="C2" sqref="C1:C1048576"/>
    </sheetView>
  </sheetViews>
  <sheetFormatPr defaultColWidth="8.75" defaultRowHeight="14.25" x14ac:dyDescent="0.2"/>
  <cols>
    <col min="1" max="1" width="9.125" style="48" customWidth="1"/>
    <col min="2" max="2" width="15.625" style="48" customWidth="1"/>
    <col min="3" max="3" width="12.125" style="46" bestFit="1" customWidth="1"/>
    <col min="4" max="4" width="7.5" style="46" customWidth="1"/>
    <col min="5" max="5" width="14.625" style="46" customWidth="1"/>
    <col min="6" max="6" width="11.125" style="49" bestFit="1" customWidth="1"/>
    <col min="7" max="7" width="14.5" style="46" customWidth="1"/>
    <col min="8" max="8" width="6.75" style="46" bestFit="1" customWidth="1"/>
    <col min="9" max="9" width="12.375" style="46" customWidth="1"/>
    <col min="10" max="10" width="11.75" style="46" customWidth="1"/>
    <col min="11" max="11" width="14.625" style="46" customWidth="1"/>
    <col min="12" max="12" width="11.5" style="46" customWidth="1"/>
    <col min="13" max="13" width="12" style="46" customWidth="1"/>
    <col min="14" max="14" width="10.75" style="46" customWidth="1"/>
    <col min="15" max="15" width="27.125" style="46" customWidth="1"/>
    <col min="16" max="16" width="95.25" style="50" bestFit="1" customWidth="1"/>
    <col min="17" max="17" width="30.625" style="46" customWidth="1"/>
    <col min="18" max="18" width="19.25" style="46" customWidth="1"/>
    <col min="19" max="20" width="17.875" style="46" customWidth="1"/>
    <col min="21" max="21" width="13.75" style="46" customWidth="1"/>
    <col min="22" max="16384" width="8.75" style="46"/>
  </cols>
  <sheetData>
    <row r="1" spans="1:21" s="43" customFormat="1" ht="54.6" customHeight="1" x14ac:dyDescent="0.2">
      <c r="A1" s="157" t="s">
        <v>170</v>
      </c>
      <c r="B1" s="158"/>
      <c r="C1" s="158"/>
      <c r="D1" s="158"/>
      <c r="E1" s="158"/>
      <c r="F1" s="158"/>
      <c r="G1" s="158"/>
      <c r="H1" s="158"/>
      <c r="I1" s="158"/>
      <c r="J1" s="158"/>
      <c r="K1" s="159"/>
      <c r="L1" s="5"/>
      <c r="M1" s="5"/>
      <c r="N1" s="5"/>
      <c r="O1" s="5"/>
      <c r="P1" s="6"/>
      <c r="Q1" s="5"/>
      <c r="R1" s="5"/>
      <c r="S1" s="5"/>
      <c r="T1" s="5"/>
      <c r="U1" s="5"/>
    </row>
    <row r="2" spans="1:21" s="44" customFormat="1" ht="76.150000000000006" customHeight="1" x14ac:dyDescent="0.2">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s="53" customFormat="1" ht="108" x14ac:dyDescent="0.2">
      <c r="A3" s="51" t="s">
        <v>171</v>
      </c>
      <c r="B3" s="47" t="s">
        <v>400</v>
      </c>
      <c r="C3" s="51" t="s">
        <v>401</v>
      </c>
      <c r="D3" s="51" t="s">
        <v>104</v>
      </c>
      <c r="E3" s="51">
        <v>1981</v>
      </c>
      <c r="F3" s="51">
        <v>2011</v>
      </c>
      <c r="G3" s="51" t="s">
        <v>331</v>
      </c>
      <c r="H3" s="51" t="s">
        <v>171</v>
      </c>
      <c r="I3" s="51" t="s">
        <v>402</v>
      </c>
      <c r="J3" s="51" t="s">
        <v>12</v>
      </c>
      <c r="K3" s="51"/>
      <c r="L3" s="51"/>
      <c r="M3" s="51" t="s">
        <v>15</v>
      </c>
      <c r="N3" s="51" t="s">
        <v>7</v>
      </c>
      <c r="O3" s="47" t="s">
        <v>403</v>
      </c>
      <c r="P3" s="47" t="s">
        <v>404</v>
      </c>
      <c r="Q3" s="52">
        <v>1</v>
      </c>
      <c r="R3" s="51">
        <v>100</v>
      </c>
      <c r="S3" s="47" t="s">
        <v>405</v>
      </c>
      <c r="T3" s="51">
        <v>90</v>
      </c>
      <c r="U3" s="47" t="s">
        <v>406</v>
      </c>
    </row>
    <row r="4" spans="1:21" s="53" customFormat="1" ht="72" x14ac:dyDescent="0.2">
      <c r="A4" s="51" t="s">
        <v>171</v>
      </c>
      <c r="B4" s="47" t="s">
        <v>400</v>
      </c>
      <c r="C4" s="51" t="s">
        <v>407</v>
      </c>
      <c r="D4" s="51" t="s">
        <v>78</v>
      </c>
      <c r="E4" s="51">
        <v>1996</v>
      </c>
      <c r="F4" s="51">
        <v>2022</v>
      </c>
      <c r="G4" s="51" t="s">
        <v>408</v>
      </c>
      <c r="H4" s="51" t="s">
        <v>171</v>
      </c>
      <c r="I4" s="51" t="s">
        <v>409</v>
      </c>
      <c r="J4" s="51" t="s">
        <v>410</v>
      </c>
      <c r="K4" s="51"/>
      <c r="L4" s="51"/>
      <c r="M4" s="51" t="s">
        <v>15</v>
      </c>
      <c r="N4" s="51" t="s">
        <v>7</v>
      </c>
      <c r="O4" s="47" t="s">
        <v>411</v>
      </c>
      <c r="P4" s="47" t="s">
        <v>412</v>
      </c>
      <c r="Q4" s="52">
        <v>0.95</v>
      </c>
      <c r="R4" s="51">
        <v>100</v>
      </c>
      <c r="S4" s="47" t="s">
        <v>413</v>
      </c>
      <c r="T4" s="51">
        <v>80</v>
      </c>
      <c r="U4" s="51"/>
    </row>
    <row r="5" spans="1:21" s="53" customFormat="1" ht="108" x14ac:dyDescent="0.2">
      <c r="A5" s="51" t="s">
        <v>171</v>
      </c>
      <c r="B5" s="47" t="s">
        <v>400</v>
      </c>
      <c r="C5" s="51" t="s">
        <v>414</v>
      </c>
      <c r="D5" s="51" t="s">
        <v>415</v>
      </c>
      <c r="E5" s="51">
        <v>1984</v>
      </c>
      <c r="F5" s="51">
        <v>2005</v>
      </c>
      <c r="G5" s="47" t="s">
        <v>416</v>
      </c>
      <c r="H5" s="51" t="s">
        <v>171</v>
      </c>
      <c r="I5" s="51" t="s">
        <v>417</v>
      </c>
      <c r="J5" s="51" t="s">
        <v>12</v>
      </c>
      <c r="K5" s="51"/>
      <c r="L5" s="51"/>
      <c r="M5" s="51"/>
      <c r="N5" s="51" t="s">
        <v>7</v>
      </c>
      <c r="O5" s="47" t="s">
        <v>418</v>
      </c>
      <c r="P5" s="47" t="s">
        <v>419</v>
      </c>
      <c r="Q5" s="52">
        <v>1</v>
      </c>
      <c r="R5" s="51">
        <v>100</v>
      </c>
      <c r="S5" s="51" t="s">
        <v>178</v>
      </c>
      <c r="T5" s="51">
        <v>90</v>
      </c>
      <c r="U5" s="47" t="s">
        <v>420</v>
      </c>
    </row>
    <row r="6" spans="1:21" s="53" customFormat="1" ht="191.45" customHeight="1" x14ac:dyDescent="0.2">
      <c r="A6" s="51" t="s">
        <v>421</v>
      </c>
      <c r="B6" s="47" t="s">
        <v>400</v>
      </c>
      <c r="C6" s="51" t="s">
        <v>422</v>
      </c>
      <c r="D6" s="51" t="s">
        <v>423</v>
      </c>
      <c r="E6" s="51">
        <v>1991</v>
      </c>
      <c r="F6" s="51">
        <v>2016</v>
      </c>
      <c r="G6" s="51" t="s">
        <v>331</v>
      </c>
      <c r="H6" s="51" t="s">
        <v>171</v>
      </c>
      <c r="I6" s="51" t="s">
        <v>424</v>
      </c>
      <c r="J6" s="51" t="s">
        <v>12</v>
      </c>
      <c r="K6" s="51"/>
      <c r="L6" s="51"/>
      <c r="M6" s="51"/>
      <c r="N6" s="51" t="s">
        <v>7</v>
      </c>
      <c r="O6" s="47" t="s">
        <v>425</v>
      </c>
      <c r="P6" s="47" t="s">
        <v>426</v>
      </c>
      <c r="Q6" s="52">
        <v>1</v>
      </c>
      <c r="R6" s="51">
        <v>100</v>
      </c>
      <c r="S6" s="47" t="s">
        <v>427</v>
      </c>
      <c r="T6" s="51">
        <v>90</v>
      </c>
      <c r="U6" s="47" t="s">
        <v>428</v>
      </c>
    </row>
    <row r="7" spans="1:21" s="53" customFormat="1" ht="108" x14ac:dyDescent="0.2">
      <c r="A7" s="51" t="s">
        <v>171</v>
      </c>
      <c r="B7" s="47" t="s">
        <v>400</v>
      </c>
      <c r="C7" s="51" t="s">
        <v>429</v>
      </c>
      <c r="D7" s="51" t="s">
        <v>430</v>
      </c>
      <c r="E7" s="51">
        <v>1982</v>
      </c>
      <c r="F7" s="51">
        <v>2012</v>
      </c>
      <c r="G7" s="51" t="s">
        <v>431</v>
      </c>
      <c r="H7" s="51"/>
      <c r="I7" s="51" t="s">
        <v>300</v>
      </c>
      <c r="J7" s="51" t="s">
        <v>432</v>
      </c>
      <c r="K7" s="51"/>
      <c r="L7" s="51"/>
      <c r="M7" s="51"/>
      <c r="N7" s="51" t="s">
        <v>7</v>
      </c>
      <c r="O7" s="47" t="s">
        <v>433</v>
      </c>
      <c r="P7" s="47" t="s">
        <v>434</v>
      </c>
      <c r="Q7" s="52">
        <v>0.5</v>
      </c>
      <c r="R7" s="52">
        <v>0.7</v>
      </c>
      <c r="S7" s="51" t="s">
        <v>435</v>
      </c>
      <c r="T7" s="52">
        <v>0.7</v>
      </c>
      <c r="U7" s="47" t="s">
        <v>436</v>
      </c>
    </row>
  </sheetData>
  <mergeCells count="1">
    <mergeCell ref="A1:K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topLeftCell="A48" zoomScale="80" zoomScaleNormal="80" workbookViewId="0">
      <selection activeCell="C45" sqref="C45"/>
    </sheetView>
  </sheetViews>
  <sheetFormatPr defaultColWidth="8.75" defaultRowHeight="14.25" x14ac:dyDescent="0.2"/>
  <cols>
    <col min="1" max="1" width="9.125" style="48" customWidth="1"/>
    <col min="2" max="2" width="15.625" style="48" customWidth="1"/>
    <col min="3" max="3" width="12.125" style="46" bestFit="1" customWidth="1"/>
    <col min="4" max="4" width="7.5" style="46" customWidth="1"/>
    <col min="5" max="5" width="14.625" style="46" customWidth="1"/>
    <col min="6" max="6" width="14.375" style="49" customWidth="1"/>
    <col min="7" max="7" width="14.5" style="46" customWidth="1"/>
    <col min="8" max="8" width="6.75" style="46" bestFit="1" customWidth="1"/>
    <col min="9" max="9" width="12.375" style="46" customWidth="1"/>
    <col min="10" max="10" width="11.75" style="46" customWidth="1"/>
    <col min="11" max="11" width="14.625" style="46" customWidth="1"/>
    <col min="12" max="12" width="11.5" style="46" customWidth="1"/>
    <col min="13" max="13" width="12" style="46" customWidth="1"/>
    <col min="14" max="14" width="10.75" style="46" customWidth="1"/>
    <col min="15" max="15" width="27.125" style="46" customWidth="1"/>
    <col min="16" max="16" width="95.25" style="50" bestFit="1" customWidth="1"/>
    <col min="17" max="17" width="30.625" style="46" customWidth="1"/>
    <col min="18" max="18" width="19.25" style="46" customWidth="1"/>
    <col min="19" max="20" width="17.875" style="46" customWidth="1"/>
    <col min="21" max="21" width="13.75" style="46" customWidth="1"/>
    <col min="22" max="16384" width="8.75" style="46"/>
  </cols>
  <sheetData>
    <row r="1" spans="1:24" s="43" customFormat="1" ht="54.6" customHeight="1" x14ac:dyDescent="0.2">
      <c r="A1" s="157" t="s">
        <v>170</v>
      </c>
      <c r="B1" s="158"/>
      <c r="C1" s="158"/>
      <c r="D1" s="158"/>
      <c r="E1" s="158"/>
      <c r="F1" s="158"/>
      <c r="G1" s="158"/>
      <c r="H1" s="158"/>
      <c r="I1" s="158"/>
      <c r="J1" s="158"/>
      <c r="K1" s="159"/>
      <c r="L1" s="5"/>
      <c r="M1" s="5"/>
      <c r="N1" s="5"/>
      <c r="O1" s="5"/>
      <c r="P1" s="6"/>
      <c r="Q1" s="5"/>
      <c r="R1" s="5"/>
      <c r="S1" s="5"/>
      <c r="T1" s="5"/>
      <c r="U1" s="5"/>
    </row>
    <row r="2" spans="1:24" s="44" customFormat="1" ht="76.150000000000006" customHeight="1" x14ac:dyDescent="0.2">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4" s="59" customFormat="1" ht="265.89999999999998" customHeight="1" x14ac:dyDescent="0.2">
      <c r="A3" s="54" t="s">
        <v>171</v>
      </c>
      <c r="B3" s="81" t="s">
        <v>437</v>
      </c>
      <c r="C3" s="54" t="s">
        <v>438</v>
      </c>
      <c r="D3" s="54" t="s">
        <v>439</v>
      </c>
      <c r="E3" s="54">
        <v>1988</v>
      </c>
      <c r="F3" s="54">
        <v>2013</v>
      </c>
      <c r="G3" s="54" t="s">
        <v>331</v>
      </c>
      <c r="H3" s="54" t="s">
        <v>171</v>
      </c>
      <c r="I3" s="54" t="s">
        <v>440</v>
      </c>
      <c r="J3" s="54" t="s">
        <v>12</v>
      </c>
      <c r="K3" s="54"/>
      <c r="L3" s="54"/>
      <c r="M3" s="54" t="s">
        <v>15</v>
      </c>
      <c r="N3" s="54" t="s">
        <v>7</v>
      </c>
      <c r="O3" s="55" t="s">
        <v>441</v>
      </c>
      <c r="P3" s="55" t="s">
        <v>442</v>
      </c>
      <c r="Q3" s="56" t="s">
        <v>443</v>
      </c>
      <c r="R3" s="57"/>
      <c r="S3" s="55" t="s">
        <v>444</v>
      </c>
      <c r="T3" s="57"/>
      <c r="U3" s="57"/>
      <c r="V3" s="58"/>
      <c r="W3" s="58"/>
      <c r="X3" s="58"/>
    </row>
    <row r="4" spans="1:24" customFormat="1" ht="174" customHeight="1" x14ac:dyDescent="0.2">
      <c r="A4" s="60" t="s">
        <v>171</v>
      </c>
      <c r="B4" s="66" t="s">
        <v>445</v>
      </c>
      <c r="C4" s="61" t="s">
        <v>446</v>
      </c>
      <c r="D4" s="61" t="s">
        <v>87</v>
      </c>
      <c r="E4" s="61">
        <v>1970</v>
      </c>
      <c r="F4" s="62">
        <v>35004</v>
      </c>
      <c r="G4" s="61" t="s">
        <v>331</v>
      </c>
      <c r="H4" s="61" t="s">
        <v>171</v>
      </c>
      <c r="I4" s="61" t="s">
        <v>447</v>
      </c>
      <c r="J4" s="61" t="s">
        <v>12</v>
      </c>
      <c r="K4" s="61"/>
      <c r="L4" s="61"/>
      <c r="M4" s="63" t="s">
        <v>448</v>
      </c>
      <c r="N4" s="61" t="s">
        <v>7</v>
      </c>
      <c r="O4" s="64" t="s">
        <v>449</v>
      </c>
      <c r="P4" s="63" t="s">
        <v>450</v>
      </c>
      <c r="Q4" s="65" t="s">
        <v>451</v>
      </c>
      <c r="R4" s="61" t="s">
        <v>452</v>
      </c>
      <c r="S4" s="63" t="s">
        <v>453</v>
      </c>
      <c r="T4" s="61" t="s">
        <v>452</v>
      </c>
      <c r="U4" s="61"/>
    </row>
    <row r="5" spans="1:24" s="69" customFormat="1" ht="108.75" customHeight="1" x14ac:dyDescent="0.2">
      <c r="A5" s="66" t="s">
        <v>171</v>
      </c>
      <c r="B5" s="66" t="s">
        <v>445</v>
      </c>
      <c r="C5" s="63" t="s">
        <v>454</v>
      </c>
      <c r="D5" s="63" t="s">
        <v>455</v>
      </c>
      <c r="E5" s="63">
        <v>1986</v>
      </c>
      <c r="F5" s="67">
        <v>40756</v>
      </c>
      <c r="G5" s="63" t="s">
        <v>331</v>
      </c>
      <c r="H5" s="63" t="s">
        <v>171</v>
      </c>
      <c r="I5" s="63" t="s">
        <v>447</v>
      </c>
      <c r="J5" s="63" t="s">
        <v>12</v>
      </c>
      <c r="K5" s="63"/>
      <c r="L5" s="63"/>
      <c r="M5" s="63" t="s">
        <v>221</v>
      </c>
      <c r="N5" s="63" t="s">
        <v>7</v>
      </c>
      <c r="O5" s="63" t="s">
        <v>456</v>
      </c>
      <c r="P5" s="63" t="s">
        <v>457</v>
      </c>
      <c r="Q5" s="68"/>
      <c r="R5" s="63"/>
      <c r="S5" s="63" t="s">
        <v>458</v>
      </c>
      <c r="T5" s="63"/>
      <c r="U5" s="63"/>
    </row>
    <row r="6" spans="1:24" customFormat="1" ht="165" x14ac:dyDescent="0.2">
      <c r="A6" s="60" t="s">
        <v>171</v>
      </c>
      <c r="B6" s="66" t="s">
        <v>445</v>
      </c>
      <c r="C6" s="61" t="s">
        <v>459</v>
      </c>
      <c r="D6" s="61" t="s">
        <v>460</v>
      </c>
      <c r="E6" s="61">
        <v>1985</v>
      </c>
      <c r="F6" s="61" t="s">
        <v>461</v>
      </c>
      <c r="G6" s="63" t="s">
        <v>462</v>
      </c>
      <c r="H6" s="61" t="s">
        <v>171</v>
      </c>
      <c r="I6" s="61" t="s">
        <v>269</v>
      </c>
      <c r="J6" s="61" t="s">
        <v>12</v>
      </c>
      <c r="K6" s="61"/>
      <c r="L6" s="61"/>
      <c r="M6" s="63" t="s">
        <v>448</v>
      </c>
      <c r="N6" s="63" t="s">
        <v>7</v>
      </c>
      <c r="O6" s="61" t="s">
        <v>463</v>
      </c>
      <c r="P6" s="61" t="s">
        <v>464</v>
      </c>
      <c r="Q6" s="65"/>
      <c r="R6" s="61"/>
      <c r="S6" s="63" t="s">
        <v>465</v>
      </c>
      <c r="T6" s="61"/>
      <c r="U6" s="64"/>
    </row>
    <row r="7" spans="1:24" customFormat="1" ht="51.75" customHeight="1" x14ac:dyDescent="0.2">
      <c r="A7" s="60" t="s">
        <v>171</v>
      </c>
      <c r="B7" s="66" t="s">
        <v>445</v>
      </c>
      <c r="C7" s="61" t="s">
        <v>466</v>
      </c>
      <c r="D7" s="61" t="s">
        <v>226</v>
      </c>
      <c r="E7" s="61">
        <v>1975</v>
      </c>
      <c r="F7" s="61" t="s">
        <v>467</v>
      </c>
      <c r="G7" s="61" t="s">
        <v>468</v>
      </c>
      <c r="H7" s="61" t="s">
        <v>171</v>
      </c>
      <c r="I7" s="61" t="s">
        <v>469</v>
      </c>
      <c r="J7" s="61" t="s">
        <v>12</v>
      </c>
      <c r="K7" s="61"/>
      <c r="L7" s="61"/>
      <c r="M7" s="61" t="s">
        <v>166</v>
      </c>
      <c r="N7" s="61" t="s">
        <v>7</v>
      </c>
      <c r="O7" s="63" t="s">
        <v>470</v>
      </c>
      <c r="P7" s="63" t="s">
        <v>471</v>
      </c>
      <c r="Q7" s="65"/>
      <c r="R7" s="61"/>
      <c r="S7" s="61" t="s">
        <v>472</v>
      </c>
      <c r="T7" s="61"/>
      <c r="U7" s="61"/>
    </row>
    <row r="8" spans="1:24" customFormat="1" ht="353.25" customHeight="1" x14ac:dyDescent="0.2">
      <c r="A8" s="60" t="s">
        <v>171</v>
      </c>
      <c r="B8" s="66" t="s">
        <v>445</v>
      </c>
      <c r="C8" s="61" t="s">
        <v>473</v>
      </c>
      <c r="D8" s="61" t="s">
        <v>474</v>
      </c>
      <c r="E8" s="61">
        <v>1978</v>
      </c>
      <c r="F8" s="61">
        <v>2003</v>
      </c>
      <c r="G8" s="61" t="s">
        <v>408</v>
      </c>
      <c r="H8" s="61" t="s">
        <v>171</v>
      </c>
      <c r="I8" s="61" t="s">
        <v>475</v>
      </c>
      <c r="J8" s="61" t="s">
        <v>12</v>
      </c>
      <c r="K8" s="61"/>
      <c r="L8" s="61"/>
      <c r="M8" s="61" t="s">
        <v>221</v>
      </c>
      <c r="N8" s="61" t="s">
        <v>7</v>
      </c>
      <c r="O8" s="63" t="s">
        <v>476</v>
      </c>
      <c r="P8" s="70" t="s">
        <v>477</v>
      </c>
      <c r="Q8" s="61"/>
      <c r="R8" s="61"/>
      <c r="S8" s="63" t="s">
        <v>478</v>
      </c>
      <c r="T8" s="61"/>
      <c r="U8" s="61"/>
    </row>
    <row r="9" spans="1:24" customFormat="1" ht="409.6" customHeight="1" x14ac:dyDescent="0.2">
      <c r="A9" s="60" t="s">
        <v>171</v>
      </c>
      <c r="B9" s="66" t="s">
        <v>445</v>
      </c>
      <c r="C9" s="61" t="s">
        <v>479</v>
      </c>
      <c r="D9" s="61" t="s">
        <v>480</v>
      </c>
      <c r="E9" s="61">
        <v>1972</v>
      </c>
      <c r="F9" s="61" t="s">
        <v>481</v>
      </c>
      <c r="G9" s="61" t="s">
        <v>408</v>
      </c>
      <c r="H9" s="61" t="s">
        <v>171</v>
      </c>
      <c r="I9" s="61" t="s">
        <v>482</v>
      </c>
      <c r="J9" s="61" t="s">
        <v>12</v>
      </c>
      <c r="K9" s="61"/>
      <c r="L9" s="61"/>
      <c r="M9" s="61" t="s">
        <v>221</v>
      </c>
      <c r="O9" s="63" t="s">
        <v>483</v>
      </c>
      <c r="P9" s="63" t="s">
        <v>484</v>
      </c>
      <c r="Q9" s="61"/>
      <c r="R9" s="61"/>
      <c r="S9" s="63" t="s">
        <v>485</v>
      </c>
      <c r="T9" s="61"/>
      <c r="U9" s="61"/>
    </row>
    <row r="10" spans="1:24" customFormat="1" ht="250.5" customHeight="1" x14ac:dyDescent="0.2">
      <c r="A10" s="60" t="s">
        <v>171</v>
      </c>
      <c r="B10" s="66" t="s">
        <v>486</v>
      </c>
      <c r="C10" s="61" t="s">
        <v>487</v>
      </c>
      <c r="D10" s="61" t="s">
        <v>488</v>
      </c>
      <c r="E10" s="61">
        <v>1998</v>
      </c>
      <c r="F10" s="61">
        <v>2024</v>
      </c>
      <c r="G10" s="61" t="s">
        <v>408</v>
      </c>
      <c r="H10" s="61" t="s">
        <v>173</v>
      </c>
      <c r="I10" s="61" t="s">
        <v>489</v>
      </c>
      <c r="J10" s="61" t="s">
        <v>12</v>
      </c>
      <c r="K10" s="66" t="s">
        <v>490</v>
      </c>
      <c r="L10" s="61" t="s">
        <v>275</v>
      </c>
      <c r="M10" s="61" t="s">
        <v>221</v>
      </c>
      <c r="N10" s="61" t="s">
        <v>7</v>
      </c>
      <c r="O10" s="63" t="s">
        <v>491</v>
      </c>
      <c r="P10" s="63" t="s">
        <v>492</v>
      </c>
      <c r="Q10" s="61"/>
      <c r="R10" s="61"/>
      <c r="S10" s="63" t="s">
        <v>493</v>
      </c>
      <c r="T10" s="61"/>
      <c r="U10" s="61"/>
    </row>
    <row r="11" spans="1:24" customFormat="1" ht="409.5" x14ac:dyDescent="0.2">
      <c r="A11" s="60" t="s">
        <v>171</v>
      </c>
      <c r="B11" s="66" t="s">
        <v>494</v>
      </c>
      <c r="C11" s="61" t="s">
        <v>495</v>
      </c>
      <c r="D11" s="61" t="s">
        <v>496</v>
      </c>
      <c r="E11" s="61">
        <v>1968</v>
      </c>
      <c r="F11" s="61" t="s">
        <v>497</v>
      </c>
      <c r="G11" s="61" t="s">
        <v>498</v>
      </c>
      <c r="H11" s="61" t="s">
        <v>171</v>
      </c>
      <c r="I11" s="61" t="s">
        <v>139</v>
      </c>
      <c r="J11" s="61" t="s">
        <v>12</v>
      </c>
      <c r="K11" s="66" t="s">
        <v>490</v>
      </c>
      <c r="L11" s="61" t="s">
        <v>275</v>
      </c>
      <c r="M11" s="61" t="s">
        <v>166</v>
      </c>
      <c r="N11" s="61" t="s">
        <v>7</v>
      </c>
      <c r="O11" s="61" t="s">
        <v>499</v>
      </c>
      <c r="P11" s="63" t="s">
        <v>500</v>
      </c>
      <c r="Q11" s="61"/>
      <c r="R11" s="61"/>
      <c r="S11" s="63" t="s">
        <v>501</v>
      </c>
      <c r="T11" s="61"/>
      <c r="U11" s="61"/>
    </row>
    <row r="12" spans="1:24" customFormat="1" ht="17.25" customHeight="1" x14ac:dyDescent="0.2">
      <c r="A12" s="60" t="s">
        <v>171</v>
      </c>
      <c r="B12" s="66" t="s">
        <v>445</v>
      </c>
      <c r="C12" s="61" t="s">
        <v>502</v>
      </c>
      <c r="D12" s="61" t="s">
        <v>503</v>
      </c>
      <c r="E12" s="61">
        <v>1977</v>
      </c>
      <c r="F12" s="62" t="s">
        <v>504</v>
      </c>
      <c r="G12" s="61" t="s">
        <v>505</v>
      </c>
      <c r="H12" s="61" t="s">
        <v>171</v>
      </c>
      <c r="I12" s="61" t="s">
        <v>506</v>
      </c>
      <c r="J12" s="61" t="s">
        <v>12</v>
      </c>
      <c r="K12" s="61"/>
      <c r="L12" s="61"/>
      <c r="M12" s="61" t="s">
        <v>221</v>
      </c>
      <c r="N12" s="61" t="s">
        <v>507</v>
      </c>
      <c r="O12" s="61" t="s">
        <v>463</v>
      </c>
      <c r="P12" s="61" t="s">
        <v>508</v>
      </c>
      <c r="Q12" s="61"/>
      <c r="R12" s="61"/>
      <c r="S12" s="61"/>
      <c r="T12" s="61"/>
      <c r="U12" s="61"/>
    </row>
    <row r="13" spans="1:24" customFormat="1" ht="121.5" customHeight="1" x14ac:dyDescent="0.2">
      <c r="A13" s="60" t="s">
        <v>171</v>
      </c>
      <c r="B13" s="66" t="s">
        <v>445</v>
      </c>
      <c r="C13" s="61" t="s">
        <v>509</v>
      </c>
      <c r="D13" s="61" t="s">
        <v>510</v>
      </c>
      <c r="E13" s="61">
        <v>1976</v>
      </c>
      <c r="F13" s="61" t="s">
        <v>511</v>
      </c>
      <c r="G13" s="61" t="s">
        <v>512</v>
      </c>
      <c r="H13" s="61" t="s">
        <v>171</v>
      </c>
      <c r="I13" s="61" t="s">
        <v>513</v>
      </c>
      <c r="J13" s="61" t="s">
        <v>12</v>
      </c>
      <c r="K13" s="66" t="s">
        <v>490</v>
      </c>
      <c r="L13" s="61" t="s">
        <v>275</v>
      </c>
      <c r="M13" s="61" t="s">
        <v>514</v>
      </c>
      <c r="N13" s="61" t="s">
        <v>507</v>
      </c>
      <c r="O13" s="63" t="s">
        <v>515</v>
      </c>
      <c r="P13" s="63" t="s">
        <v>516</v>
      </c>
      <c r="Q13" s="61"/>
      <c r="R13" s="61"/>
      <c r="S13" s="63" t="s">
        <v>517</v>
      </c>
      <c r="T13" s="61"/>
      <c r="U13" s="61"/>
    </row>
    <row r="14" spans="1:24" customFormat="1" ht="390.75" customHeight="1" x14ac:dyDescent="0.2">
      <c r="A14" s="60" t="s">
        <v>171</v>
      </c>
      <c r="B14" s="66" t="s">
        <v>445</v>
      </c>
      <c r="C14" s="61" t="s">
        <v>518</v>
      </c>
      <c r="D14" s="61" t="s">
        <v>519</v>
      </c>
      <c r="E14" s="61">
        <v>1979</v>
      </c>
      <c r="F14" s="61">
        <v>2001</v>
      </c>
      <c r="G14" s="61" t="s">
        <v>227</v>
      </c>
      <c r="H14" s="61" t="s">
        <v>171</v>
      </c>
      <c r="I14" s="61" t="s">
        <v>520</v>
      </c>
      <c r="J14" s="61" t="s">
        <v>12</v>
      </c>
      <c r="K14" s="66"/>
      <c r="L14" s="61"/>
      <c r="M14" s="61" t="s">
        <v>221</v>
      </c>
      <c r="N14" s="61" t="s">
        <v>507</v>
      </c>
      <c r="O14" s="63" t="s">
        <v>521</v>
      </c>
      <c r="P14" s="63" t="s">
        <v>522</v>
      </c>
      <c r="Q14" s="63"/>
      <c r="R14" s="61"/>
      <c r="S14" s="63" t="s">
        <v>523</v>
      </c>
      <c r="T14" s="61"/>
      <c r="U14" s="61"/>
    </row>
    <row r="15" spans="1:24" customFormat="1" ht="66" x14ac:dyDescent="0.2">
      <c r="A15" s="60" t="s">
        <v>171</v>
      </c>
      <c r="B15" s="66" t="s">
        <v>445</v>
      </c>
      <c r="C15" s="61" t="s">
        <v>524</v>
      </c>
      <c r="D15" s="61" t="s">
        <v>519</v>
      </c>
      <c r="E15" s="61">
        <v>1994</v>
      </c>
      <c r="F15" s="61" t="s">
        <v>525</v>
      </c>
      <c r="G15" s="63" t="s">
        <v>526</v>
      </c>
      <c r="H15" s="61" t="s">
        <v>171</v>
      </c>
      <c r="I15" s="61" t="s">
        <v>527</v>
      </c>
      <c r="J15" s="61" t="s">
        <v>12</v>
      </c>
      <c r="K15" s="61"/>
      <c r="L15" s="61"/>
      <c r="M15" s="61" t="s">
        <v>206</v>
      </c>
      <c r="N15" s="61" t="s">
        <v>507</v>
      </c>
      <c r="O15" s="63" t="s">
        <v>528</v>
      </c>
      <c r="P15" s="63" t="s">
        <v>529</v>
      </c>
      <c r="Q15" s="61"/>
      <c r="R15" s="61"/>
      <c r="S15" s="63" t="s">
        <v>530</v>
      </c>
      <c r="T15" s="61"/>
      <c r="U15" s="61"/>
    </row>
    <row r="16" spans="1:24" customFormat="1" ht="294.75" customHeight="1" x14ac:dyDescent="0.2">
      <c r="A16" s="60" t="s">
        <v>171</v>
      </c>
      <c r="B16" s="66" t="s">
        <v>445</v>
      </c>
      <c r="C16" s="61" t="s">
        <v>531</v>
      </c>
      <c r="D16" s="61" t="s">
        <v>260</v>
      </c>
      <c r="E16" s="61">
        <v>1969</v>
      </c>
      <c r="F16" s="62">
        <v>35004</v>
      </c>
      <c r="G16" s="61" t="s">
        <v>331</v>
      </c>
      <c r="H16" s="61" t="s">
        <v>171</v>
      </c>
      <c r="I16" s="61" t="s">
        <v>520</v>
      </c>
      <c r="J16" s="61" t="s">
        <v>12</v>
      </c>
      <c r="K16" s="61"/>
      <c r="L16" s="61"/>
      <c r="M16" s="61" t="s">
        <v>221</v>
      </c>
      <c r="N16" s="61" t="s">
        <v>532</v>
      </c>
      <c r="O16" s="63" t="s">
        <v>533</v>
      </c>
      <c r="P16" s="63" t="s">
        <v>534</v>
      </c>
      <c r="Q16" s="61"/>
      <c r="R16" s="61"/>
      <c r="S16" s="63" t="s">
        <v>535</v>
      </c>
      <c r="T16" s="61"/>
      <c r="U16" s="61"/>
    </row>
    <row r="17" spans="1:21" customFormat="1" ht="89.25" customHeight="1" x14ac:dyDescent="0.2">
      <c r="A17" s="60" t="s">
        <v>171</v>
      </c>
      <c r="B17" s="66" t="s">
        <v>445</v>
      </c>
      <c r="C17" s="61" t="s">
        <v>536</v>
      </c>
      <c r="D17" s="61" t="s">
        <v>537</v>
      </c>
      <c r="E17" s="61">
        <v>1992</v>
      </c>
      <c r="F17" s="61">
        <v>2021</v>
      </c>
      <c r="G17" s="61" t="s">
        <v>538</v>
      </c>
      <c r="H17" s="61" t="s">
        <v>171</v>
      </c>
      <c r="I17" s="61" t="s">
        <v>539</v>
      </c>
      <c r="J17" s="61" t="s">
        <v>12</v>
      </c>
      <c r="K17" s="61"/>
      <c r="L17" s="61"/>
      <c r="M17" s="61" t="s">
        <v>221</v>
      </c>
      <c r="N17" s="61" t="s">
        <v>7</v>
      </c>
      <c r="O17" s="63" t="s">
        <v>540</v>
      </c>
      <c r="P17" s="63" t="s">
        <v>541</v>
      </c>
      <c r="Q17" s="61"/>
      <c r="R17" s="61"/>
      <c r="S17" s="63" t="s">
        <v>542</v>
      </c>
      <c r="T17" s="61"/>
      <c r="U17" s="61"/>
    </row>
    <row r="18" spans="1:21" customFormat="1" ht="247.5" x14ac:dyDescent="0.2">
      <c r="A18" s="60" t="s">
        <v>171</v>
      </c>
      <c r="B18" s="66" t="s">
        <v>445</v>
      </c>
      <c r="C18" s="61" t="s">
        <v>543</v>
      </c>
      <c r="D18" s="61" t="s">
        <v>544</v>
      </c>
      <c r="E18" s="61">
        <v>1990</v>
      </c>
      <c r="F18" s="61" t="s">
        <v>545</v>
      </c>
      <c r="G18" s="61" t="s">
        <v>331</v>
      </c>
      <c r="H18" s="61" t="s">
        <v>171</v>
      </c>
      <c r="I18" s="61" t="s">
        <v>546</v>
      </c>
      <c r="J18" s="61" t="s">
        <v>12</v>
      </c>
      <c r="K18" s="61"/>
      <c r="L18" s="61"/>
      <c r="M18" s="61" t="s">
        <v>221</v>
      </c>
      <c r="N18" s="61" t="s">
        <v>7</v>
      </c>
      <c r="O18" s="63" t="s">
        <v>547</v>
      </c>
      <c r="P18" s="63" t="s">
        <v>548</v>
      </c>
      <c r="Q18" s="61"/>
      <c r="R18" s="61"/>
      <c r="S18" s="63" t="s">
        <v>549</v>
      </c>
      <c r="T18" s="61"/>
      <c r="U18" s="61"/>
    </row>
    <row r="19" spans="1:21" customFormat="1" ht="174" customHeight="1" x14ac:dyDescent="0.2">
      <c r="A19" s="60" t="s">
        <v>171</v>
      </c>
      <c r="B19" s="66" t="s">
        <v>445</v>
      </c>
      <c r="C19" s="61" t="s">
        <v>550</v>
      </c>
      <c r="D19" s="61" t="s">
        <v>551</v>
      </c>
      <c r="E19" s="61">
        <v>1985</v>
      </c>
      <c r="F19" s="62">
        <v>40422</v>
      </c>
      <c r="G19" s="61" t="s">
        <v>552</v>
      </c>
      <c r="H19" s="61" t="s">
        <v>171</v>
      </c>
      <c r="I19" s="61" t="s">
        <v>506</v>
      </c>
      <c r="J19" s="61" t="s">
        <v>12</v>
      </c>
      <c r="K19" s="61"/>
      <c r="L19" s="61"/>
      <c r="M19" s="61" t="s">
        <v>221</v>
      </c>
      <c r="N19" s="61" t="s">
        <v>7</v>
      </c>
      <c r="O19" s="63" t="s">
        <v>553</v>
      </c>
      <c r="P19" s="63" t="s">
        <v>554</v>
      </c>
      <c r="Q19" s="61"/>
      <c r="R19" s="61"/>
      <c r="S19" s="63" t="s">
        <v>555</v>
      </c>
      <c r="T19" s="61"/>
      <c r="U19" s="61"/>
    </row>
    <row r="20" spans="1:21" customFormat="1" ht="102" customHeight="1" x14ac:dyDescent="0.2">
      <c r="A20" s="60" t="s">
        <v>171</v>
      </c>
      <c r="B20" s="66" t="s">
        <v>445</v>
      </c>
      <c r="C20" s="61" t="s">
        <v>556</v>
      </c>
      <c r="D20" s="61" t="s">
        <v>557</v>
      </c>
      <c r="E20" s="61">
        <v>1982</v>
      </c>
      <c r="F20" s="61">
        <v>2016</v>
      </c>
      <c r="G20" s="61" t="s">
        <v>558</v>
      </c>
      <c r="H20" s="61" t="s">
        <v>171</v>
      </c>
      <c r="I20" s="61" t="s">
        <v>559</v>
      </c>
      <c r="J20" s="61" t="s">
        <v>12</v>
      </c>
      <c r="K20" s="61"/>
      <c r="L20" s="61"/>
      <c r="M20" s="61" t="s">
        <v>221</v>
      </c>
      <c r="N20" s="61" t="s">
        <v>7</v>
      </c>
      <c r="O20" s="63" t="s">
        <v>560</v>
      </c>
      <c r="P20" s="63" t="s">
        <v>561</v>
      </c>
      <c r="Q20" s="61"/>
      <c r="R20" s="61"/>
      <c r="S20" s="61" t="s">
        <v>562</v>
      </c>
      <c r="T20" s="61"/>
      <c r="U20" s="61"/>
    </row>
    <row r="21" spans="1:21" customFormat="1" ht="234.75" customHeight="1" x14ac:dyDescent="0.2">
      <c r="A21" s="60" t="s">
        <v>171</v>
      </c>
      <c r="B21" s="66" t="s">
        <v>445</v>
      </c>
      <c r="C21" s="61" t="s">
        <v>563</v>
      </c>
      <c r="D21" s="61" t="s">
        <v>564</v>
      </c>
      <c r="E21" s="61">
        <v>1977</v>
      </c>
      <c r="F21" s="61">
        <v>2011</v>
      </c>
      <c r="G21" s="61" t="s">
        <v>565</v>
      </c>
      <c r="H21" s="61" t="s">
        <v>171</v>
      </c>
      <c r="I21" s="63" t="s">
        <v>566</v>
      </c>
      <c r="J21" s="61" t="s">
        <v>12</v>
      </c>
      <c r="K21" s="61"/>
      <c r="L21" s="61"/>
      <c r="M21" s="61" t="s">
        <v>221</v>
      </c>
      <c r="N21" s="61" t="s">
        <v>7</v>
      </c>
      <c r="O21" s="63" t="s">
        <v>567</v>
      </c>
      <c r="P21" s="63" t="s">
        <v>568</v>
      </c>
      <c r="Q21" s="61"/>
      <c r="R21" s="61"/>
      <c r="S21" s="63" t="s">
        <v>569</v>
      </c>
      <c r="T21" s="61"/>
      <c r="U21" s="61"/>
    </row>
    <row r="22" spans="1:21" customFormat="1" ht="409.5" x14ac:dyDescent="0.2">
      <c r="A22" s="60" t="s">
        <v>171</v>
      </c>
      <c r="B22" s="66" t="s">
        <v>445</v>
      </c>
      <c r="C22" s="61" t="s">
        <v>570</v>
      </c>
      <c r="D22" s="61" t="s">
        <v>571</v>
      </c>
      <c r="E22" s="61">
        <v>1985</v>
      </c>
      <c r="F22" s="61"/>
      <c r="G22" s="61" t="s">
        <v>227</v>
      </c>
      <c r="H22" s="61" t="s">
        <v>171</v>
      </c>
      <c r="I22" s="61" t="s">
        <v>546</v>
      </c>
      <c r="J22" s="61" t="s">
        <v>12</v>
      </c>
      <c r="K22" s="61"/>
      <c r="L22" s="61"/>
      <c r="M22" s="61" t="s">
        <v>221</v>
      </c>
      <c r="N22" s="61" t="s">
        <v>7</v>
      </c>
      <c r="O22" s="63" t="s">
        <v>572</v>
      </c>
      <c r="P22" s="63" t="s">
        <v>573</v>
      </c>
      <c r="Q22" s="61"/>
      <c r="R22" s="61"/>
      <c r="S22" s="63" t="s">
        <v>574</v>
      </c>
      <c r="T22" s="61"/>
      <c r="U22" s="61"/>
    </row>
    <row r="23" spans="1:21" customFormat="1" ht="132" x14ac:dyDescent="0.2">
      <c r="A23" s="60" t="s">
        <v>171</v>
      </c>
      <c r="B23" s="66" t="s">
        <v>445</v>
      </c>
      <c r="C23" s="61" t="s">
        <v>575</v>
      </c>
      <c r="D23" s="61" t="s">
        <v>260</v>
      </c>
      <c r="E23" s="61">
        <v>1968</v>
      </c>
      <c r="F23" s="61">
        <v>1991</v>
      </c>
      <c r="G23" s="61" t="s">
        <v>227</v>
      </c>
      <c r="H23" s="61" t="s">
        <v>171</v>
      </c>
      <c r="I23" s="61" t="s">
        <v>576</v>
      </c>
      <c r="J23" s="61" t="s">
        <v>12</v>
      </c>
      <c r="K23" s="61"/>
      <c r="L23" s="61"/>
      <c r="M23" s="61" t="s">
        <v>221</v>
      </c>
      <c r="N23" s="61" t="s">
        <v>577</v>
      </c>
      <c r="O23" s="63" t="s">
        <v>578</v>
      </c>
      <c r="P23" s="63" t="s">
        <v>579</v>
      </c>
      <c r="Q23" s="61"/>
      <c r="R23" s="61"/>
      <c r="S23" s="63" t="s">
        <v>580</v>
      </c>
      <c r="T23" s="61"/>
      <c r="U23" s="61"/>
    </row>
    <row r="24" spans="1:21" customFormat="1" ht="103.5" customHeight="1" x14ac:dyDescent="0.2">
      <c r="A24" s="60" t="s">
        <v>171</v>
      </c>
      <c r="B24" s="66" t="s">
        <v>445</v>
      </c>
      <c r="C24" s="61" t="s">
        <v>581</v>
      </c>
      <c r="D24" s="61" t="s">
        <v>582</v>
      </c>
      <c r="E24" s="61">
        <v>1984</v>
      </c>
      <c r="F24" s="61">
        <v>2015</v>
      </c>
      <c r="G24" s="61" t="s">
        <v>583</v>
      </c>
      <c r="H24" s="61" t="s">
        <v>584</v>
      </c>
      <c r="I24" s="61" t="s">
        <v>585</v>
      </c>
      <c r="J24" s="61" t="s">
        <v>586</v>
      </c>
      <c r="K24" s="61"/>
      <c r="L24" s="61"/>
      <c r="M24" s="61" t="s">
        <v>221</v>
      </c>
      <c r="N24" s="61" t="s">
        <v>587</v>
      </c>
      <c r="O24" s="63" t="s">
        <v>588</v>
      </c>
      <c r="P24" s="63" t="s">
        <v>589</v>
      </c>
      <c r="Q24" s="61"/>
      <c r="R24" s="61"/>
      <c r="S24" s="63" t="s">
        <v>590</v>
      </c>
      <c r="T24" s="61"/>
      <c r="U24" s="61"/>
    </row>
    <row r="25" spans="1:21" customFormat="1" ht="148.5" x14ac:dyDescent="0.2">
      <c r="A25" s="60"/>
      <c r="B25" s="66" t="s">
        <v>591</v>
      </c>
      <c r="C25" s="61" t="s">
        <v>592</v>
      </c>
      <c r="D25" s="61" t="s">
        <v>593</v>
      </c>
      <c r="E25" s="61">
        <v>1987</v>
      </c>
      <c r="F25" s="71">
        <v>40758</v>
      </c>
      <c r="G25" s="61" t="s">
        <v>594</v>
      </c>
      <c r="H25" s="61" t="s">
        <v>171</v>
      </c>
      <c r="I25" s="61" t="s">
        <v>576</v>
      </c>
      <c r="J25" s="61" t="s">
        <v>12</v>
      </c>
      <c r="K25" s="61"/>
      <c r="L25" s="61"/>
      <c r="M25" s="61" t="s">
        <v>221</v>
      </c>
      <c r="N25" s="61" t="s">
        <v>587</v>
      </c>
      <c r="O25" s="63" t="s">
        <v>595</v>
      </c>
      <c r="P25" s="61" t="s">
        <v>596</v>
      </c>
      <c r="Q25" s="61"/>
      <c r="R25" s="61"/>
      <c r="S25" s="63" t="s">
        <v>597</v>
      </c>
      <c r="T25" s="61"/>
      <c r="U25" s="61"/>
    </row>
    <row r="26" spans="1:21" customFormat="1" ht="148.5" x14ac:dyDescent="0.2">
      <c r="A26" s="60" t="s">
        <v>171</v>
      </c>
      <c r="B26" s="66" t="s">
        <v>591</v>
      </c>
      <c r="C26" s="61" t="s">
        <v>598</v>
      </c>
      <c r="D26" s="61" t="s">
        <v>78</v>
      </c>
      <c r="E26" s="61">
        <v>1978</v>
      </c>
      <c r="F26" s="71">
        <v>39377</v>
      </c>
      <c r="G26" s="61" t="s">
        <v>599</v>
      </c>
      <c r="H26" s="61" t="s">
        <v>171</v>
      </c>
      <c r="I26" s="61" t="s">
        <v>600</v>
      </c>
      <c r="J26" s="61" t="s">
        <v>601</v>
      </c>
      <c r="K26" s="61" t="s">
        <v>602</v>
      </c>
      <c r="L26" s="61" t="s">
        <v>275</v>
      </c>
      <c r="M26" s="61" t="s">
        <v>221</v>
      </c>
      <c r="N26" s="61" t="s">
        <v>7</v>
      </c>
      <c r="O26" s="72" t="s">
        <v>603</v>
      </c>
      <c r="P26" s="63" t="s">
        <v>604</v>
      </c>
      <c r="Q26" s="61"/>
      <c r="R26" s="61"/>
      <c r="S26" s="61"/>
      <c r="T26" s="61"/>
      <c r="U26" s="61"/>
    </row>
    <row r="27" spans="1:21" customFormat="1" ht="333.75" customHeight="1" x14ac:dyDescent="0.2">
      <c r="A27" s="60" t="s">
        <v>174</v>
      </c>
      <c r="B27" s="66" t="s">
        <v>591</v>
      </c>
      <c r="C27" s="61" t="s">
        <v>605</v>
      </c>
      <c r="D27" s="61" t="s">
        <v>606</v>
      </c>
      <c r="E27" s="61">
        <v>1995</v>
      </c>
      <c r="F27" s="71">
        <v>44514</v>
      </c>
      <c r="G27" s="63" t="s">
        <v>607</v>
      </c>
      <c r="H27" s="61" t="s">
        <v>171</v>
      </c>
      <c r="I27" s="61" t="s">
        <v>608</v>
      </c>
      <c r="J27" s="61" t="s">
        <v>609</v>
      </c>
      <c r="K27" s="61" t="s">
        <v>610</v>
      </c>
      <c r="L27" s="61" t="s">
        <v>275</v>
      </c>
      <c r="M27" s="61" t="s">
        <v>514</v>
      </c>
      <c r="N27" s="61" t="s">
        <v>507</v>
      </c>
      <c r="O27" s="72" t="s">
        <v>611</v>
      </c>
      <c r="P27" s="63" t="s">
        <v>612</v>
      </c>
      <c r="Q27" s="61"/>
      <c r="R27" s="61"/>
      <c r="S27" s="63" t="s">
        <v>613</v>
      </c>
      <c r="T27" s="61"/>
      <c r="U27" s="61"/>
    </row>
    <row r="28" spans="1:21" customFormat="1" ht="68.25" customHeight="1" x14ac:dyDescent="0.2">
      <c r="A28" s="60" t="s">
        <v>171</v>
      </c>
      <c r="B28" s="66" t="s">
        <v>591</v>
      </c>
      <c r="C28" s="61" t="s">
        <v>614</v>
      </c>
      <c r="D28" s="61" t="s">
        <v>83</v>
      </c>
      <c r="E28" s="61">
        <v>1986</v>
      </c>
      <c r="F28" s="61">
        <v>2007</v>
      </c>
      <c r="G28" s="61" t="s">
        <v>615</v>
      </c>
      <c r="H28" s="61" t="s">
        <v>171</v>
      </c>
      <c r="I28" s="61" t="s">
        <v>135</v>
      </c>
      <c r="J28" s="61" t="s">
        <v>12</v>
      </c>
      <c r="K28" s="61"/>
      <c r="L28" s="61"/>
      <c r="M28" s="61" t="s">
        <v>221</v>
      </c>
      <c r="N28" s="61" t="s">
        <v>507</v>
      </c>
      <c r="O28" s="63" t="s">
        <v>616</v>
      </c>
      <c r="P28" s="73" t="s">
        <v>617</v>
      </c>
      <c r="Q28" s="61"/>
      <c r="R28" s="61"/>
      <c r="S28" s="63" t="s">
        <v>618</v>
      </c>
      <c r="T28" s="61"/>
      <c r="U28" s="61"/>
    </row>
    <row r="29" spans="1:21" customFormat="1" ht="99" x14ac:dyDescent="0.2">
      <c r="A29" s="60" t="s">
        <v>171</v>
      </c>
      <c r="B29" s="66" t="s">
        <v>591</v>
      </c>
      <c r="C29" s="61" t="s">
        <v>619</v>
      </c>
      <c r="D29" s="61" t="s">
        <v>620</v>
      </c>
      <c r="E29" s="61">
        <v>1986</v>
      </c>
      <c r="F29" s="61">
        <v>2012</v>
      </c>
      <c r="G29" s="61" t="s">
        <v>621</v>
      </c>
      <c r="H29" s="61" t="s">
        <v>171</v>
      </c>
      <c r="I29" s="61" t="s">
        <v>135</v>
      </c>
      <c r="J29" s="61" t="s">
        <v>12</v>
      </c>
      <c r="K29" s="61"/>
      <c r="L29" s="61"/>
      <c r="M29" s="61" t="s">
        <v>221</v>
      </c>
      <c r="N29" s="61" t="s">
        <v>507</v>
      </c>
      <c r="O29" s="63" t="s">
        <v>616</v>
      </c>
      <c r="P29" s="73" t="s">
        <v>617</v>
      </c>
      <c r="Q29" s="61"/>
      <c r="R29" s="61"/>
      <c r="S29" s="63" t="s">
        <v>618</v>
      </c>
      <c r="T29" s="61"/>
      <c r="U29" s="61"/>
    </row>
    <row r="30" spans="1:21" customFormat="1" ht="66.75" customHeight="1" x14ac:dyDescent="0.2">
      <c r="A30" s="60" t="s">
        <v>171</v>
      </c>
      <c r="B30" s="66" t="s">
        <v>591</v>
      </c>
      <c r="C30" s="61" t="s">
        <v>622</v>
      </c>
      <c r="D30" s="61" t="s">
        <v>623</v>
      </c>
      <c r="E30" s="61">
        <v>1985</v>
      </c>
      <c r="F30" s="61">
        <v>2012</v>
      </c>
      <c r="G30" s="61" t="s">
        <v>621</v>
      </c>
      <c r="H30" s="61" t="s">
        <v>171</v>
      </c>
      <c r="I30" s="61" t="s">
        <v>624</v>
      </c>
      <c r="J30" s="61" t="s">
        <v>12</v>
      </c>
      <c r="K30" s="61"/>
      <c r="L30" s="61"/>
      <c r="M30" s="61" t="s">
        <v>15</v>
      </c>
      <c r="N30" s="61" t="s">
        <v>507</v>
      </c>
      <c r="O30" s="63" t="s">
        <v>625</v>
      </c>
      <c r="P30" s="63" t="s">
        <v>626</v>
      </c>
      <c r="Q30" s="61"/>
      <c r="R30" s="61"/>
      <c r="S30" s="63" t="s">
        <v>627</v>
      </c>
      <c r="T30" s="61"/>
      <c r="U30" s="61"/>
    </row>
    <row r="31" spans="1:21" customFormat="1" ht="148.5" x14ac:dyDescent="0.2">
      <c r="A31" s="60" t="s">
        <v>171</v>
      </c>
      <c r="B31" s="66" t="s">
        <v>591</v>
      </c>
      <c r="C31" s="61" t="s">
        <v>628</v>
      </c>
      <c r="D31" s="61" t="s">
        <v>629</v>
      </c>
      <c r="E31" s="61">
        <v>1985</v>
      </c>
      <c r="F31" s="61">
        <v>2007</v>
      </c>
      <c r="G31" s="61" t="s">
        <v>630</v>
      </c>
      <c r="H31" s="61" t="s">
        <v>171</v>
      </c>
      <c r="I31" s="61" t="s">
        <v>631</v>
      </c>
      <c r="J31" s="61" t="s">
        <v>12</v>
      </c>
      <c r="K31" s="61"/>
      <c r="L31" s="61"/>
      <c r="M31" s="63" t="s">
        <v>632</v>
      </c>
      <c r="N31" s="61" t="s">
        <v>507</v>
      </c>
      <c r="O31" s="63" t="s">
        <v>633</v>
      </c>
      <c r="P31" s="63" t="s">
        <v>634</v>
      </c>
      <c r="Q31" s="61"/>
      <c r="R31" s="61"/>
      <c r="S31" s="63" t="s">
        <v>635</v>
      </c>
      <c r="T31" s="61"/>
      <c r="U31" s="61"/>
    </row>
    <row r="32" spans="1:21" customFormat="1" ht="60" customHeight="1" x14ac:dyDescent="0.2">
      <c r="A32" s="60" t="s">
        <v>171</v>
      </c>
      <c r="B32" s="66" t="s">
        <v>591</v>
      </c>
      <c r="C32" s="61" t="s">
        <v>636</v>
      </c>
      <c r="D32" s="61" t="s">
        <v>637</v>
      </c>
      <c r="E32" s="61">
        <v>1985</v>
      </c>
      <c r="F32" s="61">
        <v>2007</v>
      </c>
      <c r="G32" s="61" t="s">
        <v>638</v>
      </c>
      <c r="H32" s="61" t="s">
        <v>171</v>
      </c>
      <c r="I32" s="61" t="s">
        <v>639</v>
      </c>
      <c r="J32" s="61" t="s">
        <v>12</v>
      </c>
      <c r="K32" s="61"/>
      <c r="L32" s="61"/>
      <c r="M32" s="61" t="s">
        <v>640</v>
      </c>
      <c r="N32" s="61" t="s">
        <v>507</v>
      </c>
      <c r="O32" s="63" t="s">
        <v>641</v>
      </c>
      <c r="P32" s="66" t="s">
        <v>642</v>
      </c>
      <c r="Q32" s="61"/>
      <c r="R32" s="61"/>
      <c r="S32" s="61" t="s">
        <v>643</v>
      </c>
      <c r="T32" s="61"/>
      <c r="U32" s="61"/>
    </row>
    <row r="33" spans="1:21" customFormat="1" ht="148.5" x14ac:dyDescent="0.2">
      <c r="A33" s="60" t="s">
        <v>171</v>
      </c>
      <c r="B33" s="66" t="s">
        <v>445</v>
      </c>
      <c r="C33" s="61" t="s">
        <v>644</v>
      </c>
      <c r="D33" s="61" t="s">
        <v>73</v>
      </c>
      <c r="E33" s="61">
        <v>1975</v>
      </c>
      <c r="F33" s="61">
        <v>2000</v>
      </c>
      <c r="G33" s="61" t="s">
        <v>227</v>
      </c>
      <c r="H33" s="61" t="s">
        <v>171</v>
      </c>
      <c r="I33" s="61" t="s">
        <v>337</v>
      </c>
      <c r="J33" s="61" t="s">
        <v>12</v>
      </c>
      <c r="K33" s="61"/>
      <c r="L33" s="61"/>
      <c r="M33" s="63" t="s">
        <v>645</v>
      </c>
      <c r="N33" s="61" t="s">
        <v>507</v>
      </c>
      <c r="O33" s="63" t="s">
        <v>646</v>
      </c>
      <c r="P33" s="63" t="s">
        <v>647</v>
      </c>
      <c r="Q33" s="61"/>
      <c r="R33" s="61"/>
      <c r="S33" s="63" t="s">
        <v>648</v>
      </c>
      <c r="T33" s="61"/>
      <c r="U33" s="61"/>
    </row>
    <row r="34" spans="1:21" customFormat="1" ht="379.5" x14ac:dyDescent="0.2">
      <c r="A34" s="60" t="s">
        <v>171</v>
      </c>
      <c r="B34" s="66" t="s">
        <v>445</v>
      </c>
      <c r="C34" s="61" t="s">
        <v>649</v>
      </c>
      <c r="D34" s="61" t="s">
        <v>81</v>
      </c>
      <c r="E34" s="61">
        <v>1973</v>
      </c>
      <c r="F34" s="61">
        <v>1997</v>
      </c>
      <c r="G34" s="61" t="s">
        <v>650</v>
      </c>
      <c r="H34" s="61" t="s">
        <v>171</v>
      </c>
      <c r="I34" s="61" t="s">
        <v>651</v>
      </c>
      <c r="J34" s="61" t="s">
        <v>12</v>
      </c>
      <c r="K34" s="61"/>
      <c r="L34" s="61"/>
      <c r="M34" s="61" t="s">
        <v>221</v>
      </c>
      <c r="N34" s="61" t="s">
        <v>507</v>
      </c>
      <c r="O34" s="63" t="s">
        <v>652</v>
      </c>
      <c r="P34" s="63" t="s">
        <v>653</v>
      </c>
      <c r="Q34" s="61"/>
      <c r="R34" s="61"/>
      <c r="S34" s="63" t="s">
        <v>654</v>
      </c>
      <c r="T34" s="61"/>
      <c r="U34" s="61"/>
    </row>
    <row r="35" spans="1:21" customFormat="1" ht="396" x14ac:dyDescent="0.2">
      <c r="A35" s="60" t="s">
        <v>171</v>
      </c>
      <c r="B35" s="66" t="s">
        <v>655</v>
      </c>
      <c r="C35" s="61" t="s">
        <v>656</v>
      </c>
      <c r="D35" s="61" t="s">
        <v>657</v>
      </c>
      <c r="E35" s="61">
        <v>1988</v>
      </c>
      <c r="F35" s="61">
        <v>2013</v>
      </c>
      <c r="G35" s="74" t="s">
        <v>658</v>
      </c>
      <c r="H35" s="61" t="s">
        <v>659</v>
      </c>
      <c r="I35" s="61" t="s">
        <v>660</v>
      </c>
      <c r="J35" s="61" t="s">
        <v>12</v>
      </c>
      <c r="K35" s="61"/>
      <c r="L35" s="61"/>
      <c r="M35" s="61" t="s">
        <v>221</v>
      </c>
      <c r="N35" s="61" t="s">
        <v>7</v>
      </c>
      <c r="O35" s="63" t="s">
        <v>661</v>
      </c>
      <c r="P35" s="75" t="s">
        <v>662</v>
      </c>
      <c r="Q35" s="61"/>
      <c r="R35" s="61"/>
      <c r="S35" s="61"/>
      <c r="T35" s="61"/>
      <c r="U35" s="61"/>
    </row>
    <row r="36" spans="1:21" customFormat="1" ht="315.75" customHeight="1" x14ac:dyDescent="0.2">
      <c r="A36" s="60" t="s">
        <v>171</v>
      </c>
      <c r="B36" s="66" t="s">
        <v>663</v>
      </c>
      <c r="C36" s="61" t="s">
        <v>664</v>
      </c>
      <c r="D36" s="61" t="s">
        <v>83</v>
      </c>
      <c r="E36" s="61">
        <v>1988</v>
      </c>
      <c r="F36" s="61">
        <v>2012</v>
      </c>
      <c r="G36" s="61" t="s">
        <v>665</v>
      </c>
      <c r="H36" s="61" t="s">
        <v>171</v>
      </c>
      <c r="I36" s="61" t="s">
        <v>666</v>
      </c>
      <c r="J36" s="61" t="s">
        <v>12</v>
      </c>
      <c r="K36" s="61"/>
      <c r="L36" s="61"/>
      <c r="M36" s="61" t="s">
        <v>166</v>
      </c>
      <c r="N36" s="61" t="s">
        <v>7</v>
      </c>
      <c r="O36" s="63" t="s">
        <v>667</v>
      </c>
      <c r="P36" s="63" t="s">
        <v>668</v>
      </c>
      <c r="Q36" s="65"/>
      <c r="R36" s="61"/>
      <c r="S36" s="63" t="s">
        <v>669</v>
      </c>
      <c r="T36" s="61"/>
      <c r="U36" s="61"/>
    </row>
    <row r="37" spans="1:21" customFormat="1" ht="316.5" customHeight="1" x14ac:dyDescent="0.2">
      <c r="A37" s="60" t="s">
        <v>171</v>
      </c>
      <c r="B37" s="66" t="s">
        <v>663</v>
      </c>
      <c r="C37" s="61" t="s">
        <v>670</v>
      </c>
      <c r="D37" s="61" t="s">
        <v>73</v>
      </c>
      <c r="E37" s="61">
        <v>1997</v>
      </c>
      <c r="F37" s="61">
        <v>2024</v>
      </c>
      <c r="G37" s="61" t="s">
        <v>671</v>
      </c>
      <c r="H37" s="61" t="s">
        <v>173</v>
      </c>
      <c r="I37" s="61" t="s">
        <v>672</v>
      </c>
      <c r="J37" s="61" t="s">
        <v>12</v>
      </c>
      <c r="K37" s="63" t="s">
        <v>673</v>
      </c>
      <c r="L37" s="61" t="s">
        <v>313</v>
      </c>
      <c r="M37" s="61" t="s">
        <v>674</v>
      </c>
      <c r="N37" s="61" t="s">
        <v>7</v>
      </c>
      <c r="O37" s="63" t="s">
        <v>667</v>
      </c>
      <c r="P37" s="63" t="s">
        <v>675</v>
      </c>
      <c r="Q37" s="65"/>
      <c r="R37" s="61"/>
      <c r="S37" s="61"/>
      <c r="T37" s="61"/>
      <c r="U37" s="61"/>
    </row>
    <row r="38" spans="1:21" customFormat="1" ht="299.25" customHeight="1" x14ac:dyDescent="0.2">
      <c r="A38" s="60" t="s">
        <v>171</v>
      </c>
      <c r="B38" s="66" t="s">
        <v>663</v>
      </c>
      <c r="C38" s="61" t="s">
        <v>676</v>
      </c>
      <c r="D38" s="61" t="s">
        <v>677</v>
      </c>
      <c r="E38" s="61">
        <v>1996</v>
      </c>
      <c r="F38" s="61">
        <v>2024</v>
      </c>
      <c r="G38" s="61" t="s">
        <v>671</v>
      </c>
      <c r="H38" s="61" t="s">
        <v>173</v>
      </c>
      <c r="I38" s="61" t="s">
        <v>672</v>
      </c>
      <c r="J38" s="61" t="s">
        <v>12</v>
      </c>
      <c r="K38" s="63" t="s">
        <v>678</v>
      </c>
      <c r="L38" s="61" t="s">
        <v>313</v>
      </c>
      <c r="M38" s="61" t="s">
        <v>166</v>
      </c>
      <c r="N38" s="61" t="s">
        <v>7</v>
      </c>
      <c r="O38" s="63" t="s">
        <v>667</v>
      </c>
      <c r="P38" s="63" t="s">
        <v>675</v>
      </c>
      <c r="Q38" s="65"/>
      <c r="R38" s="61"/>
      <c r="S38" s="61"/>
      <c r="T38" s="61"/>
      <c r="U38" s="64"/>
    </row>
    <row r="39" spans="1:21" customFormat="1" ht="346.5" x14ac:dyDescent="0.2">
      <c r="A39" s="60" t="s">
        <v>171</v>
      </c>
      <c r="B39" s="66" t="s">
        <v>663</v>
      </c>
      <c r="C39" s="61" t="s">
        <v>679</v>
      </c>
      <c r="D39" s="61" t="s">
        <v>247</v>
      </c>
      <c r="E39" s="61">
        <v>1989</v>
      </c>
      <c r="F39" s="61">
        <v>2012</v>
      </c>
      <c r="G39" s="61" t="s">
        <v>680</v>
      </c>
      <c r="H39" s="61" t="s">
        <v>171</v>
      </c>
      <c r="I39" s="61" t="s">
        <v>681</v>
      </c>
      <c r="J39" s="61" t="s">
        <v>12</v>
      </c>
      <c r="K39" s="61"/>
      <c r="L39" s="61"/>
      <c r="M39" s="61" t="s">
        <v>166</v>
      </c>
      <c r="N39" s="61" t="s">
        <v>7</v>
      </c>
      <c r="O39" s="63" t="s">
        <v>667</v>
      </c>
      <c r="P39" s="63" t="s">
        <v>675</v>
      </c>
      <c r="Q39" s="65"/>
      <c r="R39" s="61"/>
      <c r="S39" s="61"/>
      <c r="T39" s="61"/>
      <c r="U39" s="61"/>
    </row>
    <row r="40" spans="1:21" customFormat="1" ht="365.25" customHeight="1" x14ac:dyDescent="0.2">
      <c r="A40" s="60" t="s">
        <v>171</v>
      </c>
      <c r="B40" s="66" t="s">
        <v>663</v>
      </c>
      <c r="C40" s="61" t="s">
        <v>682</v>
      </c>
      <c r="D40" s="61" t="s">
        <v>83</v>
      </c>
      <c r="E40" s="61">
        <v>1984</v>
      </c>
      <c r="F40" s="61">
        <v>2005</v>
      </c>
      <c r="G40" s="61" t="s">
        <v>683</v>
      </c>
      <c r="H40" s="61" t="s">
        <v>171</v>
      </c>
      <c r="I40" s="61" t="s">
        <v>684</v>
      </c>
      <c r="J40" s="61" t="s">
        <v>12</v>
      </c>
      <c r="K40" s="61" t="s">
        <v>169</v>
      </c>
      <c r="L40" s="61" t="s">
        <v>313</v>
      </c>
      <c r="M40" s="61" t="s">
        <v>166</v>
      </c>
      <c r="N40" s="61" t="s">
        <v>7</v>
      </c>
      <c r="O40" s="63" t="s">
        <v>685</v>
      </c>
      <c r="P40" s="63" t="s">
        <v>686</v>
      </c>
      <c r="Q40" s="61"/>
      <c r="R40" s="61"/>
      <c r="S40" s="61"/>
      <c r="T40" s="61"/>
      <c r="U40" s="61"/>
    </row>
    <row r="41" spans="1:21" customFormat="1" ht="324.75" customHeight="1" x14ac:dyDescent="0.2">
      <c r="A41" s="60" t="s">
        <v>171</v>
      </c>
      <c r="B41" s="66" t="s">
        <v>663</v>
      </c>
      <c r="C41" s="61" t="s">
        <v>687</v>
      </c>
      <c r="D41" s="61" t="s">
        <v>73</v>
      </c>
      <c r="E41" s="61">
        <v>1987</v>
      </c>
      <c r="F41" s="61">
        <v>2012</v>
      </c>
      <c r="G41" s="61" t="s">
        <v>688</v>
      </c>
      <c r="H41" s="61" t="s">
        <v>171</v>
      </c>
      <c r="I41" s="61" t="s">
        <v>166</v>
      </c>
      <c r="J41" s="61" t="s">
        <v>12</v>
      </c>
      <c r="K41" s="61"/>
      <c r="L41" s="61"/>
      <c r="M41" s="61" t="s">
        <v>166</v>
      </c>
      <c r="N41" s="61" t="s">
        <v>7</v>
      </c>
      <c r="O41" s="63" t="s">
        <v>689</v>
      </c>
      <c r="P41" s="63" t="s">
        <v>675</v>
      </c>
      <c r="Q41" s="61"/>
      <c r="R41" s="61"/>
      <c r="S41" s="61"/>
      <c r="T41" s="61"/>
      <c r="U41" s="61"/>
    </row>
    <row r="42" spans="1:21" customFormat="1" ht="324" customHeight="1" x14ac:dyDescent="0.2">
      <c r="A42" s="60" t="s">
        <v>171</v>
      </c>
      <c r="B42" s="66" t="s">
        <v>663</v>
      </c>
      <c r="C42" s="61" t="s">
        <v>690</v>
      </c>
      <c r="D42" s="61" t="s">
        <v>691</v>
      </c>
      <c r="E42" s="61">
        <v>1994</v>
      </c>
      <c r="F42" s="61">
        <v>2020</v>
      </c>
      <c r="G42" s="61" t="s">
        <v>692</v>
      </c>
      <c r="H42" s="61" t="s">
        <v>171</v>
      </c>
      <c r="I42" s="61" t="s">
        <v>693</v>
      </c>
      <c r="J42" s="61" t="s">
        <v>12</v>
      </c>
      <c r="K42" s="61"/>
      <c r="L42" s="61"/>
      <c r="M42" s="61" t="s">
        <v>674</v>
      </c>
      <c r="N42" s="61" t="s">
        <v>7</v>
      </c>
      <c r="O42" s="63" t="s">
        <v>694</v>
      </c>
      <c r="P42" s="63" t="s">
        <v>675</v>
      </c>
      <c r="Q42" s="61"/>
      <c r="R42" s="61"/>
      <c r="S42" s="63" t="s">
        <v>695</v>
      </c>
      <c r="T42" s="61"/>
      <c r="U42" s="61"/>
    </row>
    <row r="43" spans="1:21" customFormat="1" ht="280.5" x14ac:dyDescent="0.2">
      <c r="A43" s="76" t="s">
        <v>696</v>
      </c>
      <c r="B43" s="66" t="s">
        <v>697</v>
      </c>
      <c r="C43" s="77" t="s">
        <v>698</v>
      </c>
      <c r="D43" s="61" t="s">
        <v>699</v>
      </c>
      <c r="E43" s="61">
        <v>1980</v>
      </c>
      <c r="F43" s="77">
        <v>2015</v>
      </c>
      <c r="G43" s="61" t="s">
        <v>700</v>
      </c>
      <c r="H43" s="61" t="s">
        <v>171</v>
      </c>
      <c r="I43" s="61" t="s">
        <v>701</v>
      </c>
      <c r="J43" s="61" t="s">
        <v>12</v>
      </c>
      <c r="K43" s="61"/>
      <c r="L43" s="61"/>
      <c r="M43" s="61" t="s">
        <v>702</v>
      </c>
      <c r="N43" s="61" t="s">
        <v>703</v>
      </c>
      <c r="O43" s="63" t="s">
        <v>704</v>
      </c>
      <c r="P43" s="78" t="s">
        <v>705</v>
      </c>
      <c r="Q43" s="61"/>
      <c r="R43" s="61"/>
      <c r="S43" s="79" t="s">
        <v>706</v>
      </c>
      <c r="T43" s="80"/>
      <c r="U43" s="63" t="s">
        <v>707</v>
      </c>
    </row>
    <row r="44" spans="1:21" customFormat="1" ht="132" x14ac:dyDescent="0.2">
      <c r="A44" s="60" t="s">
        <v>171</v>
      </c>
      <c r="B44" s="66" t="s">
        <v>591</v>
      </c>
      <c r="C44" s="61" t="s">
        <v>708</v>
      </c>
      <c r="D44" s="61" t="s">
        <v>709</v>
      </c>
      <c r="E44" s="61">
        <v>1974</v>
      </c>
      <c r="F44" s="61">
        <v>1999</v>
      </c>
      <c r="G44" s="61" t="s">
        <v>710</v>
      </c>
      <c r="H44" s="61" t="s">
        <v>171</v>
      </c>
      <c r="I44" s="61" t="s">
        <v>711</v>
      </c>
      <c r="J44" s="61" t="s">
        <v>12</v>
      </c>
      <c r="K44" s="61"/>
      <c r="L44" s="61"/>
      <c r="M44" s="61" t="s">
        <v>221</v>
      </c>
      <c r="N44" s="61" t="s">
        <v>7</v>
      </c>
      <c r="O44" s="63" t="s">
        <v>712</v>
      </c>
      <c r="P44" s="63" t="s">
        <v>713</v>
      </c>
      <c r="Q44" s="61"/>
      <c r="R44" s="61"/>
      <c r="S44" s="63" t="s">
        <v>714</v>
      </c>
      <c r="T44" s="61"/>
      <c r="U44" s="61"/>
    </row>
    <row r="45" spans="1:21" customFormat="1" ht="148.5" x14ac:dyDescent="0.2">
      <c r="A45" s="60" t="s">
        <v>171</v>
      </c>
      <c r="B45" s="66" t="s">
        <v>591</v>
      </c>
      <c r="C45" s="61" t="s">
        <v>715</v>
      </c>
      <c r="D45" s="61" t="s">
        <v>716</v>
      </c>
      <c r="E45" s="61">
        <v>1966</v>
      </c>
      <c r="F45" s="61">
        <v>1988</v>
      </c>
      <c r="G45" s="61" t="s">
        <v>630</v>
      </c>
      <c r="H45" s="61" t="s">
        <v>171</v>
      </c>
      <c r="I45" s="61" t="s">
        <v>631</v>
      </c>
      <c r="J45" s="61" t="s">
        <v>12</v>
      </c>
      <c r="K45" s="61"/>
      <c r="L45" s="61"/>
      <c r="M45" s="61" t="s">
        <v>221</v>
      </c>
      <c r="N45" s="61" t="s">
        <v>7</v>
      </c>
      <c r="O45" s="63" t="s">
        <v>712</v>
      </c>
      <c r="P45" s="63" t="s">
        <v>717</v>
      </c>
      <c r="Q45" s="61"/>
      <c r="R45" s="61"/>
      <c r="S45" s="63" t="s">
        <v>714</v>
      </c>
      <c r="T45" s="61"/>
      <c r="U45" s="61"/>
    </row>
    <row r="46" spans="1:21" customFormat="1" ht="49.5" x14ac:dyDescent="0.2">
      <c r="A46" s="60" t="s">
        <v>171</v>
      </c>
      <c r="B46" s="66" t="s">
        <v>591</v>
      </c>
      <c r="C46" s="61" t="s">
        <v>718</v>
      </c>
      <c r="D46" s="61" t="s">
        <v>593</v>
      </c>
      <c r="E46" s="61">
        <v>2002</v>
      </c>
      <c r="F46" s="61">
        <v>2023</v>
      </c>
      <c r="G46" s="61" t="s">
        <v>719</v>
      </c>
      <c r="H46" s="61" t="s">
        <v>171</v>
      </c>
      <c r="I46" s="61" t="s">
        <v>720</v>
      </c>
      <c r="J46" s="61" t="s">
        <v>12</v>
      </c>
      <c r="K46" s="61"/>
      <c r="L46" s="61"/>
      <c r="M46" s="61" t="s">
        <v>221</v>
      </c>
      <c r="N46" s="61" t="s">
        <v>7</v>
      </c>
      <c r="O46" s="61" t="s">
        <v>721</v>
      </c>
      <c r="P46" s="63" t="s">
        <v>722</v>
      </c>
      <c r="Q46" s="61"/>
      <c r="R46" s="61"/>
      <c r="S46" s="61" t="s">
        <v>723</v>
      </c>
      <c r="T46" s="61"/>
      <c r="U46" s="61"/>
    </row>
    <row r="47" spans="1:21" customFormat="1" ht="82.5" x14ac:dyDescent="0.2">
      <c r="A47" s="60" t="s">
        <v>171</v>
      </c>
      <c r="B47" s="66" t="s">
        <v>591</v>
      </c>
      <c r="C47" s="61" t="s">
        <v>724</v>
      </c>
      <c r="D47" s="61" t="s">
        <v>87</v>
      </c>
      <c r="E47" s="61">
        <v>1996</v>
      </c>
      <c r="F47" s="61">
        <v>2023</v>
      </c>
      <c r="G47" s="61" t="s">
        <v>725</v>
      </c>
      <c r="H47" s="61" t="s">
        <v>172</v>
      </c>
      <c r="I47" s="61" t="s">
        <v>726</v>
      </c>
      <c r="J47" s="61" t="s">
        <v>12</v>
      </c>
      <c r="K47" s="61"/>
      <c r="L47" s="61"/>
      <c r="M47" s="61" t="s">
        <v>221</v>
      </c>
      <c r="N47" s="61" t="s">
        <v>7</v>
      </c>
      <c r="O47" s="61" t="s">
        <v>721</v>
      </c>
      <c r="P47" s="63" t="s">
        <v>727</v>
      </c>
      <c r="Q47" s="61"/>
      <c r="R47" s="61"/>
      <c r="S47" s="63" t="s">
        <v>728</v>
      </c>
      <c r="T47" s="61"/>
      <c r="U47" s="61"/>
    </row>
    <row r="48" spans="1:21" customFormat="1" ht="355.5" customHeight="1" x14ac:dyDescent="0.2">
      <c r="A48" s="60" t="s">
        <v>171</v>
      </c>
      <c r="B48" s="66" t="s">
        <v>591</v>
      </c>
      <c r="C48" s="61" t="s">
        <v>729</v>
      </c>
      <c r="D48" s="61" t="s">
        <v>730</v>
      </c>
      <c r="E48" s="61">
        <v>1986</v>
      </c>
      <c r="F48" s="61">
        <v>2011</v>
      </c>
      <c r="G48" s="61" t="s">
        <v>731</v>
      </c>
      <c r="H48" s="61" t="s">
        <v>171</v>
      </c>
      <c r="I48" s="61" t="s">
        <v>732</v>
      </c>
      <c r="J48" s="61" t="s">
        <v>12</v>
      </c>
      <c r="K48" s="61"/>
      <c r="L48" s="61"/>
      <c r="M48" s="61" t="s">
        <v>640</v>
      </c>
      <c r="N48" s="61" t="s">
        <v>7</v>
      </c>
      <c r="O48" s="63" t="s">
        <v>733</v>
      </c>
      <c r="P48" s="63" t="s">
        <v>734</v>
      </c>
      <c r="Q48" s="61" t="s">
        <v>735</v>
      </c>
      <c r="R48" s="61"/>
      <c r="S48" s="63" t="s">
        <v>736</v>
      </c>
      <c r="T48" s="61"/>
      <c r="U48" s="61"/>
    </row>
    <row r="49" spans="1:21" customFormat="1" ht="49.5" x14ac:dyDescent="0.2">
      <c r="A49" s="60" t="s">
        <v>171</v>
      </c>
      <c r="B49" s="66" t="s">
        <v>591</v>
      </c>
      <c r="C49" s="61" t="s">
        <v>737</v>
      </c>
      <c r="D49" s="61" t="s">
        <v>738</v>
      </c>
      <c r="E49" s="61">
        <v>1973</v>
      </c>
      <c r="F49" s="61">
        <v>2007</v>
      </c>
      <c r="G49" s="61" t="s">
        <v>739</v>
      </c>
      <c r="H49" s="61" t="s">
        <v>171</v>
      </c>
      <c r="I49" s="61" t="s">
        <v>740</v>
      </c>
      <c r="J49" s="61" t="s">
        <v>12</v>
      </c>
      <c r="K49" s="61"/>
      <c r="L49" s="61"/>
      <c r="M49" s="61" t="s">
        <v>640</v>
      </c>
      <c r="N49" s="61" t="s">
        <v>158</v>
      </c>
      <c r="O49" s="63" t="s">
        <v>741</v>
      </c>
      <c r="P49" s="63" t="s">
        <v>742</v>
      </c>
      <c r="Q49" s="61"/>
      <c r="R49" s="61"/>
      <c r="S49" s="63" t="s">
        <v>743</v>
      </c>
      <c r="T49" s="61"/>
      <c r="U49" s="61"/>
    </row>
    <row r="50" spans="1:21" customFormat="1" ht="409.5" x14ac:dyDescent="0.2">
      <c r="A50" s="60" t="s">
        <v>171</v>
      </c>
      <c r="B50" s="66" t="s">
        <v>591</v>
      </c>
      <c r="C50" s="61" t="s">
        <v>744</v>
      </c>
      <c r="D50" s="61" t="s">
        <v>745</v>
      </c>
      <c r="E50" s="61">
        <v>1988</v>
      </c>
      <c r="F50" s="61">
        <v>1923</v>
      </c>
      <c r="G50" s="61" t="s">
        <v>746</v>
      </c>
      <c r="H50" s="61" t="s">
        <v>171</v>
      </c>
      <c r="I50" s="61" t="s">
        <v>747</v>
      </c>
      <c r="J50" s="61" t="s">
        <v>12</v>
      </c>
      <c r="K50" s="61"/>
      <c r="L50" s="61"/>
      <c r="M50" s="61" t="s">
        <v>640</v>
      </c>
      <c r="N50" s="61" t="s">
        <v>158</v>
      </c>
      <c r="O50" s="63" t="s">
        <v>748</v>
      </c>
      <c r="P50" s="63" t="s">
        <v>749</v>
      </c>
      <c r="Q50" s="61"/>
      <c r="R50" s="61"/>
      <c r="S50" s="63" t="s">
        <v>750</v>
      </c>
      <c r="T50" s="61"/>
      <c r="U50" s="61"/>
    </row>
    <row r="51" spans="1:21" customFormat="1" ht="66" x14ac:dyDescent="0.2">
      <c r="A51" s="60" t="s">
        <v>171</v>
      </c>
      <c r="B51" s="66" t="s">
        <v>591</v>
      </c>
      <c r="C51" s="61" t="s">
        <v>751</v>
      </c>
      <c r="D51" s="61" t="s">
        <v>241</v>
      </c>
      <c r="E51" s="61">
        <v>1987</v>
      </c>
      <c r="F51" s="61">
        <v>2008</v>
      </c>
      <c r="G51" s="61" t="s">
        <v>752</v>
      </c>
      <c r="H51" s="61" t="s">
        <v>171</v>
      </c>
      <c r="I51" s="61" t="s">
        <v>624</v>
      </c>
      <c r="J51" s="61" t="s">
        <v>12</v>
      </c>
      <c r="K51" s="61"/>
      <c r="L51" s="61"/>
      <c r="M51" s="61" t="s">
        <v>640</v>
      </c>
      <c r="N51" s="61" t="s">
        <v>158</v>
      </c>
      <c r="O51" s="61" t="s">
        <v>753</v>
      </c>
      <c r="P51" s="61" t="s">
        <v>754</v>
      </c>
      <c r="Q51" s="63"/>
      <c r="R51" s="63"/>
      <c r="S51" s="63" t="s">
        <v>755</v>
      </c>
      <c r="T51" s="61"/>
      <c r="U51" s="61"/>
    </row>
    <row r="52" spans="1:21" customFormat="1" ht="82.5" x14ac:dyDescent="0.2">
      <c r="A52" s="60" t="s">
        <v>171</v>
      </c>
      <c r="B52" s="66" t="s">
        <v>591</v>
      </c>
      <c r="C52" s="61" t="s">
        <v>756</v>
      </c>
      <c r="D52" s="61" t="s">
        <v>757</v>
      </c>
      <c r="E52" s="61">
        <v>1985</v>
      </c>
      <c r="F52" s="61">
        <v>2012</v>
      </c>
      <c r="G52" s="61" t="s">
        <v>758</v>
      </c>
      <c r="H52" s="61" t="s">
        <v>171</v>
      </c>
      <c r="I52" s="61" t="s">
        <v>11</v>
      </c>
      <c r="J52" s="61" t="s">
        <v>12</v>
      </c>
      <c r="K52" s="61"/>
      <c r="L52" s="61"/>
      <c r="M52" s="61" t="s">
        <v>221</v>
      </c>
      <c r="N52" s="61" t="s">
        <v>7</v>
      </c>
      <c r="O52" s="63" t="s">
        <v>759</v>
      </c>
      <c r="P52" s="78" t="s">
        <v>760</v>
      </c>
      <c r="Q52" s="61"/>
      <c r="R52" s="61"/>
      <c r="S52" s="63" t="s">
        <v>761</v>
      </c>
      <c r="T52" s="61"/>
      <c r="U52" s="61"/>
    </row>
  </sheetData>
  <mergeCells count="1">
    <mergeCell ref="A1:K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
  <sheetViews>
    <sheetView topLeftCell="B1" zoomScale="70" zoomScaleNormal="70" workbookViewId="0">
      <selection activeCell="G2" sqref="G1:G1048576"/>
    </sheetView>
  </sheetViews>
  <sheetFormatPr defaultColWidth="8.75" defaultRowHeight="14.25" x14ac:dyDescent="0.2"/>
  <cols>
    <col min="1" max="1" width="9.125" style="48" customWidth="1"/>
    <col min="2" max="2" width="15.625" style="48" customWidth="1"/>
    <col min="3" max="3" width="12.125" style="46" bestFit="1" customWidth="1"/>
    <col min="4" max="4" width="7.5" style="46" customWidth="1"/>
    <col min="5" max="5" width="14.625" style="46" customWidth="1"/>
    <col min="6" max="6" width="15.125" style="49" customWidth="1"/>
    <col min="7" max="7" width="20.5" style="46" customWidth="1"/>
    <col min="8" max="8" width="6.75" style="46" bestFit="1" customWidth="1"/>
    <col min="9" max="9" width="12.375" style="46" customWidth="1"/>
    <col min="10" max="10" width="11.75" style="46" customWidth="1"/>
    <col min="11" max="11" width="14.625" style="46" customWidth="1"/>
    <col min="12" max="12" width="11.5" style="46" customWidth="1"/>
    <col min="13" max="13" width="12" style="46" customWidth="1"/>
    <col min="14" max="14" width="10.75" style="46" customWidth="1"/>
    <col min="15" max="15" width="27.125" style="46" customWidth="1"/>
    <col min="16" max="16" width="95.25" style="50" bestFit="1" customWidth="1"/>
    <col min="17" max="17" width="30.625" style="46" customWidth="1"/>
    <col min="18" max="18" width="19.25" style="46" customWidth="1"/>
    <col min="19" max="20" width="17.875" style="46" customWidth="1"/>
    <col min="21" max="21" width="13.75" style="46" customWidth="1"/>
    <col min="22" max="16384" width="8.75" style="46"/>
  </cols>
  <sheetData>
    <row r="1" spans="1:21" s="43" customFormat="1" ht="54.6" customHeight="1" x14ac:dyDescent="0.2">
      <c r="A1" s="157" t="s">
        <v>170</v>
      </c>
      <c r="B1" s="158"/>
      <c r="C1" s="158"/>
      <c r="D1" s="158"/>
      <c r="E1" s="158"/>
      <c r="F1" s="158"/>
      <c r="G1" s="158"/>
      <c r="H1" s="158"/>
      <c r="I1" s="158"/>
      <c r="J1" s="158"/>
      <c r="K1" s="159"/>
      <c r="L1" s="5"/>
      <c r="M1" s="5"/>
      <c r="N1" s="5"/>
      <c r="O1" s="5"/>
      <c r="P1" s="6"/>
      <c r="Q1" s="5"/>
      <c r="R1" s="5"/>
      <c r="S1" s="5"/>
      <c r="T1" s="5"/>
      <c r="U1" s="5"/>
    </row>
    <row r="2" spans="1:21" s="44" customFormat="1" ht="76.150000000000006" customHeight="1" x14ac:dyDescent="0.2">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ht="207.6" customHeight="1" x14ac:dyDescent="0.2">
      <c r="A3" s="82" t="s">
        <v>171</v>
      </c>
      <c r="B3" s="89" t="s">
        <v>762</v>
      </c>
      <c r="C3" s="83" t="s">
        <v>763</v>
      </c>
      <c r="D3" s="83" t="s">
        <v>764</v>
      </c>
      <c r="E3" s="83">
        <v>1984</v>
      </c>
      <c r="F3" s="83">
        <v>2009</v>
      </c>
      <c r="G3" s="83" t="s">
        <v>765</v>
      </c>
      <c r="H3" s="83" t="s">
        <v>584</v>
      </c>
      <c r="I3" s="78" t="s">
        <v>766</v>
      </c>
      <c r="J3" s="83" t="s">
        <v>12</v>
      </c>
      <c r="K3" s="83"/>
      <c r="L3" s="83"/>
      <c r="M3" s="83" t="s">
        <v>15</v>
      </c>
      <c r="N3" s="83" t="s">
        <v>7</v>
      </c>
      <c r="O3" s="84" t="s">
        <v>767</v>
      </c>
      <c r="P3" s="84" t="s">
        <v>768</v>
      </c>
      <c r="Q3" s="85">
        <v>1</v>
      </c>
      <c r="R3" s="83">
        <v>100</v>
      </c>
      <c r="S3" s="83" t="s">
        <v>769</v>
      </c>
      <c r="T3" s="83">
        <v>90</v>
      </c>
      <c r="U3" s="83"/>
    </row>
    <row r="4" spans="1:21" ht="148.5" x14ac:dyDescent="0.2">
      <c r="A4" s="82" t="s">
        <v>171</v>
      </c>
      <c r="B4" s="89" t="s">
        <v>762</v>
      </c>
      <c r="C4" s="83" t="s">
        <v>770</v>
      </c>
      <c r="D4" s="83" t="s">
        <v>771</v>
      </c>
      <c r="E4" s="83">
        <v>1994</v>
      </c>
      <c r="F4" s="83">
        <v>2024</v>
      </c>
      <c r="G4" s="83" t="s">
        <v>772</v>
      </c>
      <c r="H4" s="83" t="s">
        <v>773</v>
      </c>
      <c r="I4" s="83" t="s">
        <v>774</v>
      </c>
      <c r="J4" s="83" t="s">
        <v>12</v>
      </c>
      <c r="K4" s="83"/>
      <c r="L4" s="83"/>
      <c r="M4" s="83" t="s">
        <v>15</v>
      </c>
      <c r="N4" s="83" t="s">
        <v>7</v>
      </c>
      <c r="O4" s="84" t="s">
        <v>775</v>
      </c>
      <c r="P4" s="84" t="s">
        <v>776</v>
      </c>
      <c r="Q4" s="85">
        <v>1</v>
      </c>
      <c r="R4" s="85">
        <v>1</v>
      </c>
      <c r="S4" s="83" t="s">
        <v>777</v>
      </c>
      <c r="T4" s="83" t="s">
        <v>778</v>
      </c>
      <c r="U4" s="83" t="s">
        <v>779</v>
      </c>
    </row>
    <row r="5" spans="1:21" ht="171" customHeight="1" x14ac:dyDescent="0.2">
      <c r="A5" s="82" t="s">
        <v>171</v>
      </c>
      <c r="B5" s="89" t="s">
        <v>762</v>
      </c>
      <c r="C5" s="83" t="s">
        <v>780</v>
      </c>
      <c r="D5" s="83" t="s">
        <v>781</v>
      </c>
      <c r="E5" s="83">
        <v>1998</v>
      </c>
      <c r="F5" s="83">
        <v>2024</v>
      </c>
      <c r="G5" s="84" t="s">
        <v>408</v>
      </c>
      <c r="H5" s="83" t="s">
        <v>173</v>
      </c>
      <c r="I5" s="83" t="s">
        <v>782</v>
      </c>
      <c r="J5" s="83" t="s">
        <v>12</v>
      </c>
      <c r="K5" s="83" t="s">
        <v>783</v>
      </c>
      <c r="L5" s="83" t="s">
        <v>783</v>
      </c>
      <c r="M5" s="83" t="s">
        <v>15</v>
      </c>
      <c r="N5" s="83" t="s">
        <v>7</v>
      </c>
      <c r="O5" s="84" t="s">
        <v>784</v>
      </c>
      <c r="P5" s="84" t="s">
        <v>785</v>
      </c>
      <c r="Q5" s="85">
        <v>1</v>
      </c>
      <c r="R5" s="85">
        <v>1</v>
      </c>
      <c r="S5" s="83" t="s">
        <v>786</v>
      </c>
      <c r="T5" s="83" t="s">
        <v>778</v>
      </c>
      <c r="U5" s="84"/>
    </row>
    <row r="6" spans="1:21" ht="250.9" customHeight="1" x14ac:dyDescent="0.2">
      <c r="A6" s="82" t="s">
        <v>171</v>
      </c>
      <c r="B6" s="89" t="s">
        <v>762</v>
      </c>
      <c r="C6" s="83" t="s">
        <v>787</v>
      </c>
      <c r="D6" s="83" t="s">
        <v>226</v>
      </c>
      <c r="E6" s="83">
        <v>1988</v>
      </c>
      <c r="F6" s="83">
        <v>2013</v>
      </c>
      <c r="G6" s="83" t="s">
        <v>331</v>
      </c>
      <c r="H6" s="83" t="s">
        <v>171</v>
      </c>
      <c r="I6" s="83" t="s">
        <v>788</v>
      </c>
      <c r="J6" s="83" t="s">
        <v>12</v>
      </c>
      <c r="K6" s="83" t="s">
        <v>789</v>
      </c>
      <c r="L6" s="83" t="s">
        <v>762</v>
      </c>
      <c r="M6" s="83" t="s">
        <v>15</v>
      </c>
      <c r="N6" s="83" t="s">
        <v>7</v>
      </c>
      <c r="O6" s="83" t="s">
        <v>231</v>
      </c>
      <c r="P6" s="86" t="s">
        <v>790</v>
      </c>
      <c r="Q6" s="85">
        <v>1</v>
      </c>
      <c r="R6" s="85">
        <v>1</v>
      </c>
      <c r="S6" s="83" t="s">
        <v>272</v>
      </c>
      <c r="T6" s="83">
        <v>90</v>
      </c>
      <c r="U6" s="83"/>
    </row>
    <row r="7" spans="1:21" ht="186.6" customHeight="1" x14ac:dyDescent="0.2">
      <c r="A7" s="82" t="s">
        <v>171</v>
      </c>
      <c r="B7" s="89" t="s">
        <v>762</v>
      </c>
      <c r="C7" s="83" t="s">
        <v>791</v>
      </c>
      <c r="D7" s="83" t="s">
        <v>792</v>
      </c>
      <c r="E7" s="83">
        <v>1989</v>
      </c>
      <c r="F7" s="83">
        <v>2013</v>
      </c>
      <c r="G7" s="83" t="s">
        <v>331</v>
      </c>
      <c r="H7" s="83" t="s">
        <v>171</v>
      </c>
      <c r="I7" s="83" t="s">
        <v>788</v>
      </c>
      <c r="J7" s="83" t="s">
        <v>12</v>
      </c>
      <c r="K7" s="83" t="s">
        <v>789</v>
      </c>
      <c r="L7" s="83" t="s">
        <v>762</v>
      </c>
      <c r="M7" s="83" t="s">
        <v>15</v>
      </c>
      <c r="N7" s="83" t="s">
        <v>7</v>
      </c>
      <c r="O7" s="84" t="s">
        <v>793</v>
      </c>
      <c r="P7" s="86" t="s">
        <v>794</v>
      </c>
      <c r="Q7" s="85">
        <v>1</v>
      </c>
      <c r="R7" s="85">
        <v>1</v>
      </c>
      <c r="S7" s="83" t="s">
        <v>272</v>
      </c>
      <c r="T7" s="83">
        <v>90</v>
      </c>
      <c r="U7" s="83"/>
    </row>
    <row r="8" spans="1:21" ht="82.5" x14ac:dyDescent="0.2">
      <c r="A8" s="82" t="s">
        <v>171</v>
      </c>
      <c r="B8" s="89" t="s">
        <v>762</v>
      </c>
      <c r="C8" s="83" t="s">
        <v>795</v>
      </c>
      <c r="D8" s="83" t="s">
        <v>796</v>
      </c>
      <c r="E8" s="83">
        <v>1975</v>
      </c>
      <c r="F8" s="87">
        <v>36914</v>
      </c>
      <c r="G8" s="83" t="s">
        <v>512</v>
      </c>
      <c r="H8" s="83" t="s">
        <v>172</v>
      </c>
      <c r="I8" s="83" t="s">
        <v>797</v>
      </c>
      <c r="J8" s="83" t="s">
        <v>12</v>
      </c>
      <c r="K8" s="83" t="s">
        <v>789</v>
      </c>
      <c r="L8" s="83" t="s">
        <v>762</v>
      </c>
      <c r="M8" s="83" t="s">
        <v>15</v>
      </c>
      <c r="N8" s="83" t="s">
        <v>7</v>
      </c>
      <c r="O8" s="84" t="s">
        <v>798</v>
      </c>
      <c r="P8" s="84" t="s">
        <v>799</v>
      </c>
      <c r="Q8" s="85">
        <v>1</v>
      </c>
      <c r="R8" s="85">
        <v>1</v>
      </c>
      <c r="S8" s="83" t="s">
        <v>800</v>
      </c>
      <c r="T8" s="83">
        <v>90</v>
      </c>
      <c r="U8" s="83"/>
    </row>
    <row r="9" spans="1:21" ht="146.44999999999999" customHeight="1" x14ac:dyDescent="0.2">
      <c r="A9" s="82" t="s">
        <v>171</v>
      </c>
      <c r="B9" s="89" t="s">
        <v>762</v>
      </c>
      <c r="C9" s="83" t="s">
        <v>801</v>
      </c>
      <c r="D9" s="83" t="s">
        <v>241</v>
      </c>
      <c r="E9" s="83">
        <v>1986</v>
      </c>
      <c r="F9" s="83">
        <v>2006</v>
      </c>
      <c r="G9" s="83" t="s">
        <v>802</v>
      </c>
      <c r="H9" s="83" t="s">
        <v>171</v>
      </c>
      <c r="I9" s="83" t="s">
        <v>803</v>
      </c>
      <c r="J9" s="83" t="s">
        <v>12</v>
      </c>
      <c r="K9" s="83" t="s">
        <v>169</v>
      </c>
      <c r="L9" s="83" t="s">
        <v>762</v>
      </c>
      <c r="M9" s="83" t="s">
        <v>15</v>
      </c>
      <c r="N9" s="83" t="s">
        <v>7</v>
      </c>
      <c r="O9" s="84" t="s">
        <v>804</v>
      </c>
      <c r="P9" s="84" t="s">
        <v>805</v>
      </c>
      <c r="Q9" s="85">
        <v>1</v>
      </c>
      <c r="R9" s="85">
        <v>1</v>
      </c>
      <c r="S9" s="83" t="s">
        <v>806</v>
      </c>
      <c r="T9" s="88">
        <v>90</v>
      </c>
      <c r="U9" s="84"/>
    </row>
    <row r="10" spans="1:21" ht="99" x14ac:dyDescent="0.2">
      <c r="A10" s="82" t="s">
        <v>171</v>
      </c>
      <c r="B10" s="89" t="s">
        <v>762</v>
      </c>
      <c r="C10" s="83" t="s">
        <v>807</v>
      </c>
      <c r="D10" s="83" t="s">
        <v>808</v>
      </c>
      <c r="E10" s="83">
        <v>1975</v>
      </c>
      <c r="F10" s="83">
        <v>1996</v>
      </c>
      <c r="G10" s="83" t="s">
        <v>279</v>
      </c>
      <c r="H10" s="83" t="s">
        <v>171</v>
      </c>
      <c r="I10" s="83" t="s">
        <v>803</v>
      </c>
      <c r="J10" s="83" t="s">
        <v>12</v>
      </c>
      <c r="K10" s="83" t="s">
        <v>789</v>
      </c>
      <c r="L10" s="83" t="s">
        <v>762</v>
      </c>
      <c r="M10" s="83" t="s">
        <v>15</v>
      </c>
      <c r="N10" s="83" t="s">
        <v>7</v>
      </c>
      <c r="O10" s="84" t="s">
        <v>809</v>
      </c>
      <c r="P10" s="84"/>
      <c r="Q10" s="85"/>
      <c r="R10" s="85"/>
      <c r="S10" s="83" t="s">
        <v>810</v>
      </c>
      <c r="T10" s="85"/>
      <c r="U10" s="84" t="s">
        <v>811</v>
      </c>
    </row>
    <row r="11" spans="1:21" ht="104.25" customHeight="1" x14ac:dyDescent="0.2">
      <c r="A11" s="82" t="s">
        <v>171</v>
      </c>
      <c r="B11" s="89" t="s">
        <v>762</v>
      </c>
      <c r="C11" s="83" t="s">
        <v>812</v>
      </c>
      <c r="D11" s="83" t="s">
        <v>455</v>
      </c>
      <c r="E11" s="83">
        <v>1975</v>
      </c>
      <c r="F11" s="83">
        <v>1997</v>
      </c>
      <c r="G11" s="83" t="s">
        <v>813</v>
      </c>
      <c r="H11" s="83" t="s">
        <v>171</v>
      </c>
      <c r="I11" s="83" t="s">
        <v>803</v>
      </c>
      <c r="J11" s="83" t="s">
        <v>12</v>
      </c>
      <c r="K11" s="83" t="s">
        <v>789</v>
      </c>
      <c r="L11" s="83" t="s">
        <v>762</v>
      </c>
      <c r="M11" s="83" t="s">
        <v>15</v>
      </c>
      <c r="N11" s="83" t="s">
        <v>7</v>
      </c>
      <c r="O11" s="83" t="s">
        <v>814</v>
      </c>
      <c r="P11" s="84" t="s">
        <v>815</v>
      </c>
      <c r="Q11" s="85">
        <v>1</v>
      </c>
      <c r="R11" s="85">
        <v>1</v>
      </c>
      <c r="S11" s="84" t="s">
        <v>816</v>
      </c>
      <c r="T11" s="88">
        <v>90</v>
      </c>
      <c r="U11" s="83"/>
    </row>
    <row r="12" spans="1:21" ht="147" customHeight="1" x14ac:dyDescent="0.2">
      <c r="A12" s="82" t="s">
        <v>171</v>
      </c>
      <c r="B12" s="89" t="s">
        <v>762</v>
      </c>
      <c r="C12" s="83" t="s">
        <v>817</v>
      </c>
      <c r="D12" s="83" t="s">
        <v>818</v>
      </c>
      <c r="E12" s="83">
        <v>1987</v>
      </c>
      <c r="F12" s="83">
        <v>2010</v>
      </c>
      <c r="G12" s="83" t="s">
        <v>819</v>
      </c>
      <c r="H12" s="83"/>
      <c r="I12" s="83" t="s">
        <v>820</v>
      </c>
      <c r="J12" s="83" t="s">
        <v>12</v>
      </c>
      <c r="K12" s="83" t="s">
        <v>789</v>
      </c>
      <c r="L12" s="83" t="s">
        <v>762</v>
      </c>
      <c r="M12" s="83" t="s">
        <v>15</v>
      </c>
      <c r="N12" s="83" t="s">
        <v>7</v>
      </c>
      <c r="O12" s="84" t="s">
        <v>821</v>
      </c>
      <c r="P12" s="84" t="s">
        <v>822</v>
      </c>
      <c r="Q12" s="85">
        <v>1</v>
      </c>
      <c r="R12" s="85">
        <v>1</v>
      </c>
      <c r="S12" s="83" t="s">
        <v>823</v>
      </c>
      <c r="T12" s="88">
        <v>90</v>
      </c>
      <c r="U12" s="83"/>
    </row>
  </sheetData>
  <mergeCells count="1">
    <mergeCell ref="A1:K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
  <sheetViews>
    <sheetView zoomScale="60" zoomScaleNormal="60" workbookViewId="0">
      <selection activeCell="C2" sqref="C1:C1048576"/>
    </sheetView>
  </sheetViews>
  <sheetFormatPr defaultColWidth="8.75" defaultRowHeight="14.25" x14ac:dyDescent="0.2"/>
  <cols>
    <col min="1" max="1" width="9.125" style="48" customWidth="1"/>
    <col min="2" max="2" width="15.625" style="48" customWidth="1"/>
    <col min="3" max="3" width="12.125" style="46" bestFit="1" customWidth="1"/>
    <col min="4" max="4" width="19.75" style="46" customWidth="1"/>
    <col min="5" max="5" width="14.625" style="46" customWidth="1"/>
    <col min="6" max="6" width="11.125" style="49" bestFit="1" customWidth="1"/>
    <col min="7" max="7" width="14.5" style="46" customWidth="1"/>
    <col min="8" max="8" width="25.125" style="46" customWidth="1"/>
    <col min="9" max="9" width="12.375" style="46" customWidth="1"/>
    <col min="10" max="10" width="25.625" style="46" customWidth="1"/>
    <col min="11" max="11" width="14.625" style="46" customWidth="1"/>
    <col min="12" max="12" width="11.5" style="46" customWidth="1"/>
    <col min="13" max="13" width="12" style="46" customWidth="1"/>
    <col min="14" max="14" width="10.75" style="46" customWidth="1"/>
    <col min="15" max="15" width="27.125" style="46" customWidth="1"/>
    <col min="16" max="16" width="95.25" style="50" bestFit="1" customWidth="1"/>
    <col min="17" max="17" width="30.625" style="46" customWidth="1"/>
    <col min="18" max="18" width="19.25" style="46" customWidth="1"/>
    <col min="19" max="20" width="17.875" style="46" customWidth="1"/>
    <col min="21" max="21" width="13.75" style="46" customWidth="1"/>
    <col min="22" max="16384" width="8.75" style="46"/>
  </cols>
  <sheetData>
    <row r="1" spans="1:25" s="43" customFormat="1" ht="54.6" customHeight="1" x14ac:dyDescent="0.2">
      <c r="A1" s="157" t="s">
        <v>170</v>
      </c>
      <c r="B1" s="158"/>
      <c r="C1" s="158"/>
      <c r="D1" s="158"/>
      <c r="E1" s="158"/>
      <c r="F1" s="158"/>
      <c r="G1" s="158"/>
      <c r="H1" s="158"/>
      <c r="I1" s="158"/>
      <c r="J1" s="158"/>
      <c r="K1" s="159"/>
      <c r="L1" s="5"/>
      <c r="M1" s="5"/>
      <c r="N1" s="5"/>
      <c r="O1" s="5"/>
      <c r="P1" s="6"/>
      <c r="Q1" s="5"/>
      <c r="R1" s="5"/>
      <c r="S1" s="5"/>
      <c r="T1" s="5"/>
      <c r="U1" s="5"/>
    </row>
    <row r="2" spans="1:25" s="44" customFormat="1" ht="76.150000000000006" customHeight="1" thickBot="1" x14ac:dyDescent="0.25">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5" customFormat="1" ht="31.5" customHeight="1" thickBot="1" x14ac:dyDescent="0.25">
      <c r="A3" s="90">
        <v>1</v>
      </c>
      <c r="B3" s="91" t="s">
        <v>171</v>
      </c>
      <c r="C3" s="91" t="s">
        <v>824</v>
      </c>
      <c r="D3" s="92" t="s">
        <v>825</v>
      </c>
      <c r="E3" s="93" t="s">
        <v>826</v>
      </c>
      <c r="F3" s="93">
        <v>1969</v>
      </c>
      <c r="G3" s="93">
        <v>1994</v>
      </c>
      <c r="H3" s="93" t="s">
        <v>827</v>
      </c>
      <c r="I3" s="93" t="s">
        <v>171</v>
      </c>
      <c r="J3" s="91" t="s">
        <v>828</v>
      </c>
      <c r="K3" s="93" t="s">
        <v>829</v>
      </c>
      <c r="L3" s="93"/>
      <c r="M3" s="93"/>
      <c r="N3" s="92" t="s">
        <v>514</v>
      </c>
      <c r="O3" s="93" t="s">
        <v>7</v>
      </c>
      <c r="P3" s="93" t="s">
        <v>830</v>
      </c>
      <c r="Q3" s="93" t="s">
        <v>831</v>
      </c>
      <c r="R3" s="94">
        <v>0.7</v>
      </c>
      <c r="S3" s="94">
        <v>0.9</v>
      </c>
      <c r="T3" s="93" t="s">
        <v>832</v>
      </c>
      <c r="U3" s="94">
        <v>0.75</v>
      </c>
      <c r="V3" s="95"/>
      <c r="W3" s="96"/>
      <c r="X3" s="96"/>
      <c r="Y3" s="96"/>
    </row>
    <row r="4" spans="1:25" customFormat="1" ht="33.75" thickBot="1" x14ac:dyDescent="0.25">
      <c r="A4" s="90">
        <v>2</v>
      </c>
      <c r="B4" s="91" t="s">
        <v>171</v>
      </c>
      <c r="C4" s="91" t="s">
        <v>824</v>
      </c>
      <c r="D4" s="93" t="s">
        <v>833</v>
      </c>
      <c r="E4" s="93" t="s">
        <v>73</v>
      </c>
      <c r="F4" s="93">
        <v>1974</v>
      </c>
      <c r="G4" s="93">
        <v>2002</v>
      </c>
      <c r="H4" s="93" t="s">
        <v>505</v>
      </c>
      <c r="I4" s="93" t="s">
        <v>171</v>
      </c>
      <c r="J4" s="97" t="s">
        <v>834</v>
      </c>
      <c r="K4" s="93" t="s">
        <v>829</v>
      </c>
      <c r="L4" s="93"/>
      <c r="M4" s="93"/>
      <c r="N4" s="93" t="s">
        <v>640</v>
      </c>
      <c r="O4" s="93" t="s">
        <v>7</v>
      </c>
      <c r="P4" s="91" t="s">
        <v>835</v>
      </c>
      <c r="Q4" s="98" t="s">
        <v>836</v>
      </c>
      <c r="R4" s="94">
        <v>0.7</v>
      </c>
      <c r="S4" s="94">
        <v>0.8</v>
      </c>
      <c r="T4" s="93" t="s">
        <v>837</v>
      </c>
      <c r="U4" s="94">
        <v>0.75</v>
      </c>
      <c r="V4" s="95"/>
      <c r="W4" s="96"/>
      <c r="X4" s="96"/>
      <c r="Y4" s="96"/>
    </row>
    <row r="5" spans="1:25" customFormat="1" ht="33.75" thickBot="1" x14ac:dyDescent="0.25">
      <c r="A5" s="90">
        <v>3</v>
      </c>
      <c r="B5" s="91" t="s">
        <v>171</v>
      </c>
      <c r="C5" s="91" t="s">
        <v>824</v>
      </c>
      <c r="D5" s="93" t="s">
        <v>838</v>
      </c>
      <c r="E5" s="93"/>
      <c r="F5" s="93"/>
      <c r="G5" s="93">
        <v>2011</v>
      </c>
      <c r="H5" s="93" t="s">
        <v>765</v>
      </c>
      <c r="I5" s="93" t="s">
        <v>171</v>
      </c>
      <c r="J5" s="99" t="s">
        <v>839</v>
      </c>
      <c r="K5" s="93" t="s">
        <v>829</v>
      </c>
      <c r="L5" s="93"/>
      <c r="M5" s="93"/>
      <c r="N5" s="93" t="s">
        <v>640</v>
      </c>
      <c r="O5" s="93" t="s">
        <v>7</v>
      </c>
      <c r="P5" s="100" t="s">
        <v>840</v>
      </c>
      <c r="Q5" s="93" t="s">
        <v>841</v>
      </c>
      <c r="R5" s="94">
        <v>0.7</v>
      </c>
      <c r="S5" s="94">
        <v>0.8</v>
      </c>
      <c r="T5" s="93" t="s">
        <v>842</v>
      </c>
      <c r="U5" s="94">
        <v>0.75</v>
      </c>
      <c r="V5" s="95"/>
      <c r="W5" s="96"/>
      <c r="X5" s="96"/>
      <c r="Y5" s="96"/>
    </row>
    <row r="6" spans="1:25" customFormat="1" ht="29.25" thickBot="1" x14ac:dyDescent="0.3">
      <c r="A6" s="90">
        <v>4</v>
      </c>
      <c r="B6" s="91" t="s">
        <v>171</v>
      </c>
      <c r="C6" s="91" t="s">
        <v>824</v>
      </c>
      <c r="D6" s="101" t="s">
        <v>843</v>
      </c>
      <c r="E6" s="102" t="s">
        <v>844</v>
      </c>
      <c r="F6" s="102">
        <v>1982</v>
      </c>
      <c r="G6" s="102">
        <v>2011</v>
      </c>
      <c r="H6" s="102" t="s">
        <v>845</v>
      </c>
      <c r="I6" s="102"/>
      <c r="J6" s="99" t="s">
        <v>846</v>
      </c>
      <c r="K6" s="93" t="s">
        <v>829</v>
      </c>
      <c r="L6" s="102"/>
      <c r="M6" s="102"/>
      <c r="N6" s="92" t="s">
        <v>514</v>
      </c>
      <c r="O6" s="93" t="s">
        <v>7</v>
      </c>
      <c r="P6" s="99" t="s">
        <v>847</v>
      </c>
      <c r="Q6" s="98" t="s">
        <v>848</v>
      </c>
      <c r="R6" s="103">
        <v>0.7</v>
      </c>
      <c r="S6" s="103">
        <v>0.9</v>
      </c>
      <c r="T6" s="102" t="s">
        <v>849</v>
      </c>
      <c r="U6" s="94">
        <v>0.75</v>
      </c>
      <c r="V6" s="104"/>
    </row>
    <row r="7" spans="1:25" customFormat="1" ht="29.25" thickBot="1" x14ac:dyDescent="0.3">
      <c r="A7" s="90">
        <v>5</v>
      </c>
      <c r="B7" s="91" t="s">
        <v>171</v>
      </c>
      <c r="C7" s="91" t="s">
        <v>824</v>
      </c>
      <c r="D7" s="102" t="s">
        <v>850</v>
      </c>
      <c r="E7" s="102" t="s">
        <v>851</v>
      </c>
      <c r="F7" s="102">
        <v>1982</v>
      </c>
      <c r="G7" s="102">
        <v>2010</v>
      </c>
      <c r="H7" s="102" t="s">
        <v>765</v>
      </c>
      <c r="I7" s="102"/>
      <c r="J7" s="99" t="s">
        <v>852</v>
      </c>
      <c r="K7" s="93" t="s">
        <v>829</v>
      </c>
      <c r="L7" s="102"/>
      <c r="M7" s="102"/>
      <c r="N7" s="93" t="s">
        <v>640</v>
      </c>
      <c r="O7" s="93" t="s">
        <v>7</v>
      </c>
      <c r="P7" s="99" t="s">
        <v>840</v>
      </c>
      <c r="Q7" s="98" t="s">
        <v>853</v>
      </c>
      <c r="R7" s="103">
        <v>0.5</v>
      </c>
      <c r="S7" s="103">
        <v>0.5</v>
      </c>
      <c r="T7" s="102" t="s">
        <v>854</v>
      </c>
      <c r="U7" s="94">
        <v>0.75</v>
      </c>
      <c r="V7" s="104"/>
    </row>
    <row r="8" spans="1:25" customFormat="1" ht="29.25" thickBot="1" x14ac:dyDescent="0.3">
      <c r="A8" s="90">
        <v>6</v>
      </c>
      <c r="B8" s="91" t="s">
        <v>171</v>
      </c>
      <c r="C8" s="91" t="s">
        <v>824</v>
      </c>
      <c r="D8" s="101" t="s">
        <v>422</v>
      </c>
      <c r="E8" s="102"/>
      <c r="F8" s="102"/>
      <c r="G8" s="102"/>
      <c r="H8" s="102" t="s">
        <v>505</v>
      </c>
      <c r="I8" s="102" t="s">
        <v>171</v>
      </c>
      <c r="J8" s="99" t="s">
        <v>855</v>
      </c>
      <c r="K8" s="93" t="s">
        <v>829</v>
      </c>
      <c r="L8" s="102"/>
      <c r="M8" s="102"/>
      <c r="N8" s="92" t="s">
        <v>514</v>
      </c>
      <c r="O8" s="93" t="s">
        <v>7</v>
      </c>
      <c r="P8" s="91" t="s">
        <v>856</v>
      </c>
      <c r="Q8" s="98" t="s">
        <v>857</v>
      </c>
      <c r="R8" s="103">
        <v>0.7</v>
      </c>
      <c r="S8" s="103">
        <v>0.9</v>
      </c>
      <c r="T8" s="102" t="s">
        <v>858</v>
      </c>
      <c r="U8" s="94">
        <v>0.75</v>
      </c>
      <c r="V8" s="104"/>
    </row>
    <row r="9" spans="1:25" customFormat="1" ht="29.25" thickBot="1" x14ac:dyDescent="0.3">
      <c r="A9" s="90">
        <v>7</v>
      </c>
      <c r="B9" s="91" t="s">
        <v>171</v>
      </c>
      <c r="C9" s="91" t="s">
        <v>824</v>
      </c>
      <c r="D9" s="101" t="s">
        <v>859</v>
      </c>
      <c r="E9" s="102"/>
      <c r="F9" s="102"/>
      <c r="G9" s="102"/>
      <c r="H9" s="102" t="s">
        <v>860</v>
      </c>
      <c r="I9" s="102" t="s">
        <v>171</v>
      </c>
      <c r="J9" s="99" t="s">
        <v>861</v>
      </c>
      <c r="K9" s="93" t="s">
        <v>829</v>
      </c>
      <c r="L9" s="102"/>
      <c r="M9" s="102"/>
      <c r="N9" s="92" t="s">
        <v>514</v>
      </c>
      <c r="O9" s="93" t="s">
        <v>7</v>
      </c>
      <c r="P9" s="99" t="s">
        <v>862</v>
      </c>
      <c r="Q9" s="98" t="s">
        <v>863</v>
      </c>
      <c r="R9" s="103">
        <v>0.5</v>
      </c>
      <c r="S9" s="103">
        <v>0.7</v>
      </c>
      <c r="T9" s="102" t="s">
        <v>864</v>
      </c>
      <c r="U9" s="94">
        <v>0.75</v>
      </c>
      <c r="V9" s="104"/>
    </row>
    <row r="10" spans="1:25" customFormat="1" ht="29.25" thickBot="1" x14ac:dyDescent="0.3">
      <c r="A10" s="90">
        <v>8</v>
      </c>
      <c r="B10" s="91" t="s">
        <v>171</v>
      </c>
      <c r="C10" s="91" t="s">
        <v>824</v>
      </c>
      <c r="D10" s="102" t="s">
        <v>865</v>
      </c>
      <c r="E10" s="102" t="s">
        <v>87</v>
      </c>
      <c r="F10" s="102">
        <v>1986</v>
      </c>
      <c r="G10" s="102">
        <v>2008</v>
      </c>
      <c r="H10" s="102" t="s">
        <v>866</v>
      </c>
      <c r="I10" s="102" t="s">
        <v>171</v>
      </c>
      <c r="J10" s="99" t="s">
        <v>867</v>
      </c>
      <c r="K10" s="93" t="s">
        <v>868</v>
      </c>
      <c r="L10" s="105" t="s">
        <v>869</v>
      </c>
      <c r="M10" s="102" t="s">
        <v>870</v>
      </c>
      <c r="N10" s="93" t="s">
        <v>640</v>
      </c>
      <c r="O10" s="93" t="s">
        <v>7</v>
      </c>
      <c r="P10" s="99" t="s">
        <v>871</v>
      </c>
      <c r="Q10" s="102" t="s">
        <v>872</v>
      </c>
      <c r="R10" s="103">
        <v>0.7</v>
      </c>
      <c r="S10" s="103">
        <v>0.8</v>
      </c>
      <c r="T10" s="102" t="s">
        <v>873</v>
      </c>
      <c r="U10" s="94">
        <v>1</v>
      </c>
      <c r="V10" s="104" t="s">
        <v>874</v>
      </c>
    </row>
    <row r="11" spans="1:25" customFormat="1" ht="29.25" thickBot="1" x14ac:dyDescent="0.3">
      <c r="A11" s="90">
        <v>9</v>
      </c>
      <c r="B11" s="91" t="s">
        <v>171</v>
      </c>
      <c r="C11" s="91" t="s">
        <v>824</v>
      </c>
      <c r="D11" s="102" t="s">
        <v>875</v>
      </c>
      <c r="E11" s="102" t="s">
        <v>537</v>
      </c>
      <c r="F11" s="102"/>
      <c r="G11" s="102">
        <v>2008</v>
      </c>
      <c r="H11" s="102" t="s">
        <v>876</v>
      </c>
      <c r="I11" s="102" t="s">
        <v>171</v>
      </c>
      <c r="J11" s="99" t="s">
        <v>877</v>
      </c>
      <c r="K11" s="93" t="s">
        <v>829</v>
      </c>
      <c r="L11" s="102"/>
      <c r="M11" s="102"/>
      <c r="N11" s="93" t="s">
        <v>640</v>
      </c>
      <c r="O11" s="93" t="s">
        <v>7</v>
      </c>
      <c r="P11" s="99" t="s">
        <v>878</v>
      </c>
      <c r="Q11" s="102" t="s">
        <v>879</v>
      </c>
      <c r="R11" s="103">
        <v>1</v>
      </c>
      <c r="S11" s="103">
        <v>0.9</v>
      </c>
      <c r="T11" s="102" t="s">
        <v>873</v>
      </c>
      <c r="U11" s="103">
        <v>1</v>
      </c>
      <c r="V11" s="104"/>
    </row>
    <row r="12" spans="1:25" customFormat="1" ht="29.25" thickBot="1" x14ac:dyDescent="0.3">
      <c r="A12" s="90">
        <v>10</v>
      </c>
      <c r="B12" s="91" t="s">
        <v>171</v>
      </c>
      <c r="C12" s="91" t="s">
        <v>824</v>
      </c>
      <c r="D12" s="102" t="s">
        <v>880</v>
      </c>
      <c r="E12" s="102" t="s">
        <v>881</v>
      </c>
      <c r="F12" s="102">
        <v>1985</v>
      </c>
      <c r="G12" s="102">
        <v>2008</v>
      </c>
      <c r="H12" s="102" t="s">
        <v>876</v>
      </c>
      <c r="I12" s="102" t="s">
        <v>171</v>
      </c>
      <c r="J12" s="99" t="s">
        <v>877</v>
      </c>
      <c r="K12" s="93" t="s">
        <v>829</v>
      </c>
      <c r="L12" s="102"/>
      <c r="M12" s="102"/>
      <c r="N12" s="93" t="s">
        <v>640</v>
      </c>
      <c r="O12" s="93" t="s">
        <v>7</v>
      </c>
      <c r="P12" s="99" t="s">
        <v>882</v>
      </c>
      <c r="Q12" s="102" t="s">
        <v>883</v>
      </c>
      <c r="R12" s="103">
        <v>1</v>
      </c>
      <c r="S12" s="103">
        <v>0.7</v>
      </c>
      <c r="T12" s="102" t="s">
        <v>873</v>
      </c>
      <c r="U12" s="103">
        <v>1</v>
      </c>
      <c r="V12" s="104" t="s">
        <v>874</v>
      </c>
    </row>
    <row r="13" spans="1:25" customFormat="1" ht="29.25" thickBot="1" x14ac:dyDescent="0.3">
      <c r="A13" s="90">
        <v>11</v>
      </c>
      <c r="B13" s="91" t="s">
        <v>171</v>
      </c>
      <c r="C13" s="91" t="s">
        <v>824</v>
      </c>
      <c r="D13" s="102" t="s">
        <v>884</v>
      </c>
      <c r="E13" s="102" t="s">
        <v>885</v>
      </c>
      <c r="F13" s="102"/>
      <c r="G13" s="102"/>
      <c r="H13" s="102" t="s">
        <v>876</v>
      </c>
      <c r="I13" s="102" t="s">
        <v>171</v>
      </c>
      <c r="J13" s="99" t="s">
        <v>877</v>
      </c>
      <c r="K13" s="93" t="s">
        <v>829</v>
      </c>
      <c r="L13" s="102"/>
      <c r="M13" s="102"/>
      <c r="N13" s="93" t="s">
        <v>640</v>
      </c>
      <c r="O13" s="93" t="s">
        <v>7</v>
      </c>
      <c r="P13" s="99" t="s">
        <v>886</v>
      </c>
      <c r="Q13" s="102" t="s">
        <v>841</v>
      </c>
      <c r="R13" s="103">
        <v>0.7</v>
      </c>
      <c r="S13" s="103">
        <v>0.7</v>
      </c>
      <c r="T13" s="102" t="s">
        <v>873</v>
      </c>
      <c r="U13" s="103">
        <v>0.75</v>
      </c>
      <c r="V13" s="104"/>
    </row>
    <row r="14" spans="1:25" customFormat="1" ht="29.25" thickBot="1" x14ac:dyDescent="0.3">
      <c r="A14" s="90">
        <v>12</v>
      </c>
      <c r="B14" s="91" t="s">
        <v>171</v>
      </c>
      <c r="C14" s="91" t="s">
        <v>824</v>
      </c>
      <c r="D14" s="102" t="s">
        <v>887</v>
      </c>
      <c r="E14" s="102" t="s">
        <v>888</v>
      </c>
      <c r="F14" s="102">
        <v>1995</v>
      </c>
      <c r="G14" s="102">
        <v>2017</v>
      </c>
      <c r="H14" s="102" t="s">
        <v>876</v>
      </c>
      <c r="I14" s="102" t="s">
        <v>171</v>
      </c>
      <c r="J14" s="99" t="s">
        <v>877</v>
      </c>
      <c r="K14" s="93" t="s">
        <v>829</v>
      </c>
      <c r="L14" s="102"/>
      <c r="M14" s="102"/>
      <c r="N14" s="93" t="s">
        <v>640</v>
      </c>
      <c r="O14" s="93" t="s">
        <v>7</v>
      </c>
      <c r="P14" s="99" t="s">
        <v>889</v>
      </c>
      <c r="Q14" s="102" t="s">
        <v>890</v>
      </c>
      <c r="R14" s="103">
        <v>1</v>
      </c>
      <c r="S14" s="103">
        <v>0.8</v>
      </c>
      <c r="T14" s="102" t="s">
        <v>873</v>
      </c>
      <c r="U14" s="103">
        <v>1</v>
      </c>
      <c r="V14" s="104"/>
    </row>
    <row r="15" spans="1:25" customFormat="1" ht="29.25" thickBot="1" x14ac:dyDescent="0.3">
      <c r="A15" s="90">
        <v>13</v>
      </c>
      <c r="B15" s="91" t="s">
        <v>171</v>
      </c>
      <c r="C15" s="91" t="s">
        <v>824</v>
      </c>
      <c r="D15" s="102" t="s">
        <v>891</v>
      </c>
      <c r="E15" s="102"/>
      <c r="F15" s="102">
        <v>1981</v>
      </c>
      <c r="G15" s="102">
        <v>2001</v>
      </c>
      <c r="H15" s="102" t="s">
        <v>876</v>
      </c>
      <c r="I15" s="102" t="s">
        <v>171</v>
      </c>
      <c r="J15" s="99" t="s">
        <v>877</v>
      </c>
      <c r="K15" s="93" t="s">
        <v>601</v>
      </c>
      <c r="L15" s="105" t="s">
        <v>869</v>
      </c>
      <c r="M15" s="102" t="s">
        <v>870</v>
      </c>
      <c r="N15" s="93" t="s">
        <v>640</v>
      </c>
      <c r="O15" s="93" t="s">
        <v>7</v>
      </c>
      <c r="P15" s="106" t="s">
        <v>840</v>
      </c>
      <c r="Q15" s="102" t="s">
        <v>841</v>
      </c>
      <c r="R15" s="103">
        <v>0.7</v>
      </c>
      <c r="S15" s="103">
        <v>0.8</v>
      </c>
      <c r="T15" s="102" t="s">
        <v>892</v>
      </c>
      <c r="U15" s="103">
        <v>0.75</v>
      </c>
      <c r="V15" s="104"/>
    </row>
    <row r="16" spans="1:25" customFormat="1" ht="29.25" thickBot="1" x14ac:dyDescent="0.3">
      <c r="A16" s="90">
        <v>14</v>
      </c>
      <c r="B16" s="91" t="s">
        <v>171</v>
      </c>
      <c r="C16" s="91" t="s">
        <v>824</v>
      </c>
      <c r="D16" s="101" t="s">
        <v>893</v>
      </c>
      <c r="E16" s="107"/>
      <c r="F16" s="102">
        <v>2000</v>
      </c>
      <c r="G16" s="102">
        <v>2023</v>
      </c>
      <c r="H16" s="102" t="s">
        <v>876</v>
      </c>
      <c r="I16" s="102" t="s">
        <v>171</v>
      </c>
      <c r="J16" s="99" t="s">
        <v>877</v>
      </c>
      <c r="K16" s="93" t="s">
        <v>601</v>
      </c>
      <c r="L16" s="105" t="s">
        <v>869</v>
      </c>
      <c r="M16" s="102" t="s">
        <v>870</v>
      </c>
      <c r="N16" s="92" t="s">
        <v>514</v>
      </c>
      <c r="O16" s="93" t="s">
        <v>7</v>
      </c>
      <c r="P16" s="106" t="s">
        <v>840</v>
      </c>
      <c r="Q16" s="102" t="s">
        <v>894</v>
      </c>
      <c r="R16" s="103">
        <v>0.5</v>
      </c>
      <c r="S16" s="103">
        <v>0.8</v>
      </c>
      <c r="T16" s="102" t="s">
        <v>895</v>
      </c>
      <c r="U16" s="102">
        <v>0</v>
      </c>
      <c r="V16" s="108"/>
    </row>
    <row r="17" spans="1:22" customFormat="1" ht="29.25" thickBot="1" x14ac:dyDescent="0.3">
      <c r="A17" s="90">
        <v>15</v>
      </c>
      <c r="B17" s="91" t="s">
        <v>171</v>
      </c>
      <c r="C17" s="91" t="s">
        <v>824</v>
      </c>
      <c r="D17" s="101" t="s">
        <v>896</v>
      </c>
      <c r="E17" s="107"/>
      <c r="F17" s="102">
        <v>1978</v>
      </c>
      <c r="G17" s="102">
        <v>1997</v>
      </c>
      <c r="H17" s="102" t="s">
        <v>876</v>
      </c>
      <c r="I17" s="102" t="s">
        <v>171</v>
      </c>
      <c r="J17" s="99" t="s">
        <v>877</v>
      </c>
      <c r="K17" s="93" t="s">
        <v>601</v>
      </c>
      <c r="L17" s="105" t="s">
        <v>869</v>
      </c>
      <c r="M17" s="102" t="s">
        <v>870</v>
      </c>
      <c r="N17" s="92" t="s">
        <v>514</v>
      </c>
      <c r="O17" s="93" t="s">
        <v>7</v>
      </c>
      <c r="P17" s="99" t="s">
        <v>897</v>
      </c>
      <c r="Q17" s="102" t="s">
        <v>894</v>
      </c>
      <c r="R17" s="103">
        <v>0.7</v>
      </c>
      <c r="S17" s="103">
        <v>0.7</v>
      </c>
      <c r="T17" s="102" t="s">
        <v>892</v>
      </c>
      <c r="U17" s="103">
        <v>1</v>
      </c>
      <c r="V17" s="108" t="s">
        <v>874</v>
      </c>
    </row>
    <row r="18" spans="1:22" customFormat="1" ht="29.25" thickBot="1" x14ac:dyDescent="0.3">
      <c r="A18" s="90">
        <v>16</v>
      </c>
      <c r="B18" s="91" t="s">
        <v>171</v>
      </c>
      <c r="C18" s="91" t="s">
        <v>824</v>
      </c>
      <c r="D18" s="102" t="s">
        <v>898</v>
      </c>
      <c r="E18" s="107"/>
      <c r="F18" s="102">
        <v>1976</v>
      </c>
      <c r="G18" s="102">
        <v>2000</v>
      </c>
      <c r="H18" s="107" t="s">
        <v>899</v>
      </c>
      <c r="I18" s="102" t="s">
        <v>171</v>
      </c>
      <c r="J18" s="99" t="s">
        <v>900</v>
      </c>
      <c r="K18" s="93" t="s">
        <v>601</v>
      </c>
      <c r="L18" s="105" t="s">
        <v>869</v>
      </c>
      <c r="M18" s="102" t="s">
        <v>870</v>
      </c>
      <c r="N18" s="93" t="s">
        <v>640</v>
      </c>
      <c r="O18" s="93" t="s">
        <v>7</v>
      </c>
      <c r="P18" s="99" t="s">
        <v>901</v>
      </c>
      <c r="Q18" s="102" t="s">
        <v>902</v>
      </c>
      <c r="R18" s="103">
        <v>1</v>
      </c>
      <c r="S18" s="103">
        <v>0.8</v>
      </c>
      <c r="T18" s="102" t="s">
        <v>903</v>
      </c>
      <c r="U18" s="103">
        <v>1</v>
      </c>
      <c r="V18" s="108" t="s">
        <v>874</v>
      </c>
    </row>
    <row r="19" spans="1:22" customFormat="1" ht="29.25" thickBot="1" x14ac:dyDescent="0.3">
      <c r="A19" s="90">
        <v>17</v>
      </c>
      <c r="B19" s="91" t="s">
        <v>171</v>
      </c>
      <c r="C19" s="91" t="s">
        <v>824</v>
      </c>
      <c r="D19" s="102" t="s">
        <v>904</v>
      </c>
      <c r="E19" s="107" t="s">
        <v>905</v>
      </c>
      <c r="F19" s="102">
        <v>1987</v>
      </c>
      <c r="G19" s="102">
        <v>2008</v>
      </c>
      <c r="H19" s="107" t="s">
        <v>899</v>
      </c>
      <c r="I19" s="102" t="s">
        <v>171</v>
      </c>
      <c r="J19" s="99" t="s">
        <v>900</v>
      </c>
      <c r="K19" s="93" t="s">
        <v>829</v>
      </c>
      <c r="L19" s="107"/>
      <c r="M19" s="107"/>
      <c r="N19" s="93" t="s">
        <v>640</v>
      </c>
      <c r="O19" s="93" t="s">
        <v>7</v>
      </c>
      <c r="P19" s="99" t="s">
        <v>840</v>
      </c>
      <c r="Q19" s="102" t="s">
        <v>841</v>
      </c>
      <c r="R19" s="103">
        <v>0.5</v>
      </c>
      <c r="S19" s="103">
        <v>0.7</v>
      </c>
      <c r="T19" s="102" t="s">
        <v>895</v>
      </c>
      <c r="U19" s="102">
        <v>0</v>
      </c>
      <c r="V19" s="108"/>
    </row>
    <row r="20" spans="1:22" customFormat="1" ht="29.25" thickBot="1" x14ac:dyDescent="0.3">
      <c r="A20" s="90">
        <v>18</v>
      </c>
      <c r="B20" s="91" t="s">
        <v>171</v>
      </c>
      <c r="C20" s="91" t="s">
        <v>824</v>
      </c>
      <c r="D20" s="102" t="s">
        <v>906</v>
      </c>
      <c r="E20" s="107"/>
      <c r="F20" s="102"/>
      <c r="G20" s="102"/>
      <c r="H20" s="107" t="s">
        <v>899</v>
      </c>
      <c r="I20" s="107"/>
      <c r="J20" s="99" t="s">
        <v>900</v>
      </c>
      <c r="K20" s="93" t="s">
        <v>601</v>
      </c>
      <c r="L20" s="105" t="s">
        <v>869</v>
      </c>
      <c r="M20" s="102" t="s">
        <v>870</v>
      </c>
      <c r="N20" s="93" t="s">
        <v>640</v>
      </c>
      <c r="O20" s="93" t="s">
        <v>7</v>
      </c>
      <c r="P20" s="106" t="s">
        <v>840</v>
      </c>
      <c r="Q20" s="102" t="s">
        <v>907</v>
      </c>
      <c r="R20" s="103">
        <v>0.1</v>
      </c>
      <c r="S20" s="103">
        <v>0.1</v>
      </c>
      <c r="T20" s="102" t="s">
        <v>908</v>
      </c>
      <c r="U20" s="102">
        <v>0</v>
      </c>
      <c r="V20" s="108"/>
    </row>
    <row r="21" spans="1:22" customFormat="1" ht="29.25" thickBot="1" x14ac:dyDescent="0.3">
      <c r="A21" s="90">
        <v>19</v>
      </c>
      <c r="B21" s="91" t="s">
        <v>171</v>
      </c>
      <c r="C21" s="91" t="s">
        <v>824</v>
      </c>
      <c r="D21" s="102" t="s">
        <v>909</v>
      </c>
      <c r="E21" s="107"/>
      <c r="F21" s="102"/>
      <c r="G21" s="102"/>
      <c r="H21" s="107" t="s">
        <v>910</v>
      </c>
      <c r="I21" s="107"/>
      <c r="J21" s="99" t="s">
        <v>911</v>
      </c>
      <c r="K21" s="93" t="s">
        <v>829</v>
      </c>
      <c r="L21" s="107"/>
      <c r="M21" s="107"/>
      <c r="N21" s="93" t="s">
        <v>640</v>
      </c>
      <c r="O21" s="93" t="s">
        <v>7</v>
      </c>
      <c r="P21" s="106" t="s">
        <v>840</v>
      </c>
      <c r="Q21" s="102" t="s">
        <v>912</v>
      </c>
      <c r="R21" s="103">
        <v>0.1</v>
      </c>
      <c r="S21" s="103">
        <v>0.1</v>
      </c>
      <c r="T21" s="102" t="s">
        <v>908</v>
      </c>
      <c r="U21" s="102">
        <v>0</v>
      </c>
      <c r="V21" s="108"/>
    </row>
  </sheetData>
  <mergeCells count="1">
    <mergeCell ref="A1:K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6"/>
  <sheetViews>
    <sheetView topLeftCell="A11" zoomScale="60" zoomScaleNormal="60" workbookViewId="0">
      <selection activeCell="A14" sqref="A14:XFD14"/>
    </sheetView>
  </sheetViews>
  <sheetFormatPr defaultColWidth="8.75" defaultRowHeight="14.25" x14ac:dyDescent="0.2"/>
  <cols>
    <col min="1" max="1" width="9.125" style="48" customWidth="1"/>
    <col min="2" max="2" width="15.625" style="48" customWidth="1"/>
    <col min="3" max="3" width="12.125" style="46" bestFit="1" customWidth="1"/>
    <col min="4" max="4" width="7.5" style="46" customWidth="1"/>
    <col min="5" max="5" width="14.625" style="46" customWidth="1"/>
    <col min="6" max="6" width="11.125" style="49" bestFit="1" customWidth="1"/>
    <col min="7" max="7" width="20.25" style="46" customWidth="1"/>
    <col min="8" max="8" width="6.75" style="46" bestFit="1" customWidth="1"/>
    <col min="9" max="9" width="19.875" style="46" customWidth="1"/>
    <col min="10" max="10" width="11.75" style="46" customWidth="1"/>
    <col min="11" max="11" width="14.625" style="46" customWidth="1"/>
    <col min="12" max="12" width="11.5" style="46" customWidth="1"/>
    <col min="13" max="13" width="12" style="46" customWidth="1"/>
    <col min="14" max="14" width="10.75" style="46" customWidth="1"/>
    <col min="15" max="15" width="27.125" style="46" customWidth="1"/>
    <col min="16" max="16" width="95.25" style="50" bestFit="1" customWidth="1"/>
    <col min="17" max="17" width="30.625" style="46" customWidth="1"/>
    <col min="18" max="18" width="19.25" style="46" customWidth="1"/>
    <col min="19" max="20" width="17.875" style="46" customWidth="1"/>
    <col min="21" max="21" width="13.75" style="46" customWidth="1"/>
    <col min="22" max="16384" width="8.75" style="46"/>
  </cols>
  <sheetData>
    <row r="1" spans="1:24" s="43" customFormat="1" ht="54.6" customHeight="1" x14ac:dyDescent="0.2">
      <c r="A1" s="157" t="s">
        <v>170</v>
      </c>
      <c r="B1" s="158"/>
      <c r="C1" s="158"/>
      <c r="D1" s="158"/>
      <c r="E1" s="158"/>
      <c r="F1" s="158"/>
      <c r="G1" s="158"/>
      <c r="H1" s="158"/>
      <c r="I1" s="158"/>
      <c r="J1" s="158"/>
      <c r="K1" s="158"/>
      <c r="L1" s="158"/>
      <c r="M1" s="158"/>
      <c r="N1" s="158"/>
      <c r="O1" s="158"/>
      <c r="P1" s="159"/>
      <c r="Q1" s="5"/>
      <c r="R1" s="5"/>
      <c r="S1" s="5"/>
      <c r="T1" s="5"/>
      <c r="U1" s="5"/>
    </row>
    <row r="2" spans="1:24" s="44" customFormat="1" ht="76.150000000000006" customHeight="1" x14ac:dyDescent="0.2">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4" ht="140.25" customHeight="1" x14ac:dyDescent="0.2">
      <c r="A3" s="118" t="s">
        <v>171</v>
      </c>
      <c r="B3" s="119" t="s">
        <v>913</v>
      </c>
      <c r="C3" s="118" t="s">
        <v>914</v>
      </c>
      <c r="D3" s="118" t="s">
        <v>915</v>
      </c>
      <c r="E3" s="118">
        <v>1968</v>
      </c>
      <c r="F3" s="118">
        <v>1995</v>
      </c>
      <c r="G3" s="118" t="s">
        <v>916</v>
      </c>
      <c r="H3" s="118" t="s">
        <v>171</v>
      </c>
      <c r="I3" s="118" t="s">
        <v>11</v>
      </c>
      <c r="J3" s="118" t="s">
        <v>917</v>
      </c>
      <c r="K3" s="118" t="s">
        <v>169</v>
      </c>
      <c r="L3" s="118" t="s">
        <v>918</v>
      </c>
      <c r="M3" s="118" t="s">
        <v>15</v>
      </c>
      <c r="N3" s="118" t="s">
        <v>7</v>
      </c>
      <c r="O3" s="118" t="s">
        <v>919</v>
      </c>
      <c r="P3" s="120" t="s">
        <v>920</v>
      </c>
      <c r="Q3" s="121">
        <v>1</v>
      </c>
      <c r="R3" s="121">
        <v>1</v>
      </c>
      <c r="S3" s="84" t="s">
        <v>921</v>
      </c>
      <c r="T3" s="85">
        <v>1</v>
      </c>
      <c r="U3" s="83"/>
    </row>
    <row r="4" spans="1:24" ht="165" customHeight="1" x14ac:dyDescent="0.2">
      <c r="A4" s="118" t="s">
        <v>171</v>
      </c>
      <c r="B4" s="119" t="s">
        <v>913</v>
      </c>
      <c r="C4" s="119" t="s">
        <v>922</v>
      </c>
      <c r="D4" s="119" t="s">
        <v>923</v>
      </c>
      <c r="E4" s="119">
        <v>1971</v>
      </c>
      <c r="F4" s="119">
        <v>1995</v>
      </c>
      <c r="G4" s="119" t="s">
        <v>331</v>
      </c>
      <c r="H4" s="119" t="s">
        <v>171</v>
      </c>
      <c r="I4" s="119" t="s">
        <v>924</v>
      </c>
      <c r="J4" s="119" t="s">
        <v>12</v>
      </c>
      <c r="K4" s="119"/>
      <c r="L4" s="119"/>
      <c r="M4" s="119" t="s">
        <v>15</v>
      </c>
      <c r="N4" s="119" t="s">
        <v>507</v>
      </c>
      <c r="O4" s="119" t="s">
        <v>925</v>
      </c>
      <c r="P4" s="119" t="s">
        <v>926</v>
      </c>
      <c r="Q4" s="121">
        <v>1</v>
      </c>
      <c r="R4" s="121">
        <v>1</v>
      </c>
      <c r="S4" s="119" t="s">
        <v>925</v>
      </c>
      <c r="T4" s="85"/>
      <c r="U4" s="122"/>
      <c r="V4" s="48"/>
      <c r="W4" s="48"/>
      <c r="X4" s="48"/>
    </row>
    <row r="5" spans="1:24" ht="141.75" customHeight="1" x14ac:dyDescent="0.2">
      <c r="A5" s="118" t="s">
        <v>171</v>
      </c>
      <c r="B5" s="119" t="s">
        <v>913</v>
      </c>
      <c r="C5" s="119" t="s">
        <v>927</v>
      </c>
      <c r="D5" s="119" t="s">
        <v>928</v>
      </c>
      <c r="E5" s="119">
        <v>1979</v>
      </c>
      <c r="F5" s="119">
        <v>2006</v>
      </c>
      <c r="G5" s="119" t="s">
        <v>408</v>
      </c>
      <c r="H5" s="119" t="s">
        <v>172</v>
      </c>
      <c r="I5" s="119" t="s">
        <v>475</v>
      </c>
      <c r="J5" s="119" t="s">
        <v>12</v>
      </c>
      <c r="K5" s="119"/>
      <c r="L5" s="119"/>
      <c r="M5" s="119" t="s">
        <v>15</v>
      </c>
      <c r="N5" s="119" t="s">
        <v>158</v>
      </c>
      <c r="O5" s="119" t="s">
        <v>929</v>
      </c>
      <c r="P5" s="119" t="s">
        <v>930</v>
      </c>
      <c r="Q5" s="121">
        <v>1</v>
      </c>
      <c r="R5" s="121">
        <v>1</v>
      </c>
      <c r="S5" s="119" t="s">
        <v>929</v>
      </c>
      <c r="T5" s="85"/>
      <c r="U5" s="122"/>
      <c r="V5" s="48"/>
      <c r="W5" s="48"/>
      <c r="X5" s="48"/>
    </row>
    <row r="6" spans="1:24" ht="144.75" customHeight="1" x14ac:dyDescent="0.2">
      <c r="A6" s="118" t="s">
        <v>171</v>
      </c>
      <c r="B6" s="119" t="s">
        <v>913</v>
      </c>
      <c r="C6" s="123" t="s">
        <v>931</v>
      </c>
      <c r="D6" s="123" t="s">
        <v>932</v>
      </c>
      <c r="E6" s="123">
        <v>1996</v>
      </c>
      <c r="F6" s="123">
        <v>2021</v>
      </c>
      <c r="G6" s="123" t="s">
        <v>331</v>
      </c>
      <c r="H6" s="123" t="s">
        <v>171</v>
      </c>
      <c r="I6" s="123" t="s">
        <v>924</v>
      </c>
      <c r="J6" s="123" t="s">
        <v>410</v>
      </c>
      <c r="K6" s="123"/>
      <c r="L6" s="123"/>
      <c r="M6" s="123" t="s">
        <v>674</v>
      </c>
      <c r="N6" s="123" t="s">
        <v>7</v>
      </c>
      <c r="O6" s="123" t="s">
        <v>933</v>
      </c>
      <c r="P6" s="119" t="s">
        <v>934</v>
      </c>
      <c r="Q6" s="121">
        <v>1</v>
      </c>
      <c r="R6" s="121">
        <v>1</v>
      </c>
      <c r="S6" s="119" t="s">
        <v>935</v>
      </c>
      <c r="T6" s="85"/>
      <c r="U6" s="124"/>
    </row>
    <row r="7" spans="1:24" ht="84.75" customHeight="1" x14ac:dyDescent="0.2">
      <c r="A7" s="118" t="s">
        <v>171</v>
      </c>
      <c r="B7" s="119" t="s">
        <v>913</v>
      </c>
      <c r="C7" s="123" t="s">
        <v>936</v>
      </c>
      <c r="D7" s="123" t="s">
        <v>73</v>
      </c>
      <c r="E7" s="123">
        <v>1976</v>
      </c>
      <c r="F7" s="123">
        <v>2000</v>
      </c>
      <c r="G7" s="123" t="s">
        <v>765</v>
      </c>
      <c r="H7" s="123" t="s">
        <v>171</v>
      </c>
      <c r="I7" s="123" t="s">
        <v>937</v>
      </c>
      <c r="J7" s="123" t="s">
        <v>12</v>
      </c>
      <c r="K7" s="123" t="s">
        <v>169</v>
      </c>
      <c r="L7" s="123" t="s">
        <v>918</v>
      </c>
      <c r="M7" s="123" t="s">
        <v>221</v>
      </c>
      <c r="N7" s="123" t="s">
        <v>7</v>
      </c>
      <c r="O7" s="119" t="s">
        <v>938</v>
      </c>
      <c r="P7" s="119" t="s">
        <v>939</v>
      </c>
      <c r="Q7" s="121">
        <v>1</v>
      </c>
      <c r="R7" s="121">
        <v>1</v>
      </c>
      <c r="S7" s="119" t="s">
        <v>940</v>
      </c>
      <c r="T7" s="85"/>
      <c r="U7" s="124"/>
    </row>
    <row r="8" spans="1:24" ht="153" customHeight="1" x14ac:dyDescent="0.2">
      <c r="A8" s="118" t="s">
        <v>171</v>
      </c>
      <c r="B8" s="119" t="s">
        <v>913</v>
      </c>
      <c r="C8" s="123" t="s">
        <v>941</v>
      </c>
      <c r="D8" s="123" t="s">
        <v>764</v>
      </c>
      <c r="E8" s="123">
        <v>1980</v>
      </c>
      <c r="F8" s="123">
        <v>2005</v>
      </c>
      <c r="G8" s="123" t="s">
        <v>331</v>
      </c>
      <c r="H8" s="123" t="s">
        <v>171</v>
      </c>
      <c r="I8" s="123" t="s">
        <v>924</v>
      </c>
      <c r="J8" s="123" t="s">
        <v>12</v>
      </c>
      <c r="K8" s="123" t="s">
        <v>169</v>
      </c>
      <c r="L8" s="123" t="s">
        <v>918</v>
      </c>
      <c r="M8" s="123" t="s">
        <v>221</v>
      </c>
      <c r="N8" s="123" t="s">
        <v>7</v>
      </c>
      <c r="O8" s="119" t="s">
        <v>942</v>
      </c>
      <c r="P8" s="119" t="s">
        <v>943</v>
      </c>
      <c r="Q8" s="121">
        <v>1</v>
      </c>
      <c r="R8" s="121">
        <v>1</v>
      </c>
      <c r="S8" s="119" t="s">
        <v>935</v>
      </c>
      <c r="T8" s="85"/>
      <c r="U8" s="124"/>
    </row>
    <row r="9" spans="1:24" ht="147.75" customHeight="1" x14ac:dyDescent="0.2">
      <c r="A9" s="118" t="s">
        <v>171</v>
      </c>
      <c r="B9" s="119" t="s">
        <v>913</v>
      </c>
      <c r="C9" s="123" t="s">
        <v>944</v>
      </c>
      <c r="D9" s="123" t="s">
        <v>945</v>
      </c>
      <c r="E9" s="123">
        <v>1972</v>
      </c>
      <c r="F9" s="123">
        <v>1997</v>
      </c>
      <c r="G9" s="123" t="s">
        <v>331</v>
      </c>
      <c r="H9" s="123" t="s">
        <v>171</v>
      </c>
      <c r="I9" s="123" t="s">
        <v>924</v>
      </c>
      <c r="J9" s="123" t="s">
        <v>12</v>
      </c>
      <c r="K9" s="119" t="s">
        <v>946</v>
      </c>
      <c r="L9" s="123" t="s">
        <v>918</v>
      </c>
      <c r="M9" s="123" t="s">
        <v>221</v>
      </c>
      <c r="N9" s="123" t="s">
        <v>7</v>
      </c>
      <c r="O9" s="119" t="s">
        <v>947</v>
      </c>
      <c r="P9" s="119" t="s">
        <v>948</v>
      </c>
      <c r="Q9" s="121">
        <v>1</v>
      </c>
      <c r="R9" s="121">
        <v>1</v>
      </c>
      <c r="S9" s="119" t="s">
        <v>935</v>
      </c>
      <c r="T9" s="85"/>
      <c r="U9" s="124"/>
    </row>
    <row r="10" spans="1:24" ht="142.5" customHeight="1" x14ac:dyDescent="0.2">
      <c r="A10" s="118" t="s">
        <v>171</v>
      </c>
      <c r="B10" s="119" t="s">
        <v>913</v>
      </c>
      <c r="C10" s="123" t="s">
        <v>949</v>
      </c>
      <c r="D10" s="123" t="s">
        <v>91</v>
      </c>
      <c r="E10" s="123">
        <v>1973</v>
      </c>
      <c r="F10" s="123">
        <v>1996</v>
      </c>
      <c r="G10" s="123" t="s">
        <v>331</v>
      </c>
      <c r="H10" s="123" t="s">
        <v>171</v>
      </c>
      <c r="I10" s="123" t="s">
        <v>924</v>
      </c>
      <c r="J10" s="123" t="s">
        <v>12</v>
      </c>
      <c r="K10" s="123"/>
      <c r="L10" s="123"/>
      <c r="M10" s="123" t="s">
        <v>674</v>
      </c>
      <c r="N10" s="123" t="s">
        <v>7</v>
      </c>
      <c r="O10" s="123" t="s">
        <v>933</v>
      </c>
      <c r="P10" s="119" t="s">
        <v>950</v>
      </c>
      <c r="Q10" s="121">
        <v>0.8</v>
      </c>
      <c r="R10" s="121">
        <v>1</v>
      </c>
      <c r="S10" s="119" t="s">
        <v>935</v>
      </c>
      <c r="T10" s="85"/>
      <c r="U10" s="124"/>
    </row>
    <row r="11" spans="1:24" ht="84.75" customHeight="1" x14ac:dyDescent="0.2">
      <c r="A11" s="118" t="s">
        <v>171</v>
      </c>
      <c r="B11" s="119" t="s">
        <v>913</v>
      </c>
      <c r="C11" s="123" t="s">
        <v>951</v>
      </c>
      <c r="D11" s="123" t="s">
        <v>952</v>
      </c>
      <c r="E11" s="123">
        <v>1980</v>
      </c>
      <c r="F11" s="123">
        <v>2005</v>
      </c>
      <c r="G11" s="123" t="s">
        <v>953</v>
      </c>
      <c r="H11" s="123" t="s">
        <v>171</v>
      </c>
      <c r="I11" s="123"/>
      <c r="J11" s="123" t="s">
        <v>12</v>
      </c>
      <c r="K11" s="123" t="s">
        <v>169</v>
      </c>
      <c r="L11" s="123" t="s">
        <v>918</v>
      </c>
      <c r="M11" s="123" t="s">
        <v>954</v>
      </c>
      <c r="N11" s="123" t="s">
        <v>7</v>
      </c>
      <c r="O11" s="119" t="s">
        <v>955</v>
      </c>
      <c r="P11" s="119" t="s">
        <v>956</v>
      </c>
      <c r="Q11" s="121">
        <v>0.8</v>
      </c>
      <c r="R11" s="121">
        <v>1</v>
      </c>
      <c r="S11" s="119" t="s">
        <v>955</v>
      </c>
      <c r="T11" s="85"/>
      <c r="U11" s="124"/>
    </row>
    <row r="12" spans="1:24" ht="105" customHeight="1" x14ac:dyDescent="0.2">
      <c r="A12" s="118" t="s">
        <v>171</v>
      </c>
      <c r="B12" s="119" t="s">
        <v>913</v>
      </c>
      <c r="C12" s="123" t="s">
        <v>957</v>
      </c>
      <c r="D12" s="123" t="s">
        <v>958</v>
      </c>
      <c r="E12" s="123">
        <v>1977</v>
      </c>
      <c r="F12" s="123">
        <v>2024</v>
      </c>
      <c r="G12" s="123" t="s">
        <v>959</v>
      </c>
      <c r="H12" s="123" t="s">
        <v>173</v>
      </c>
      <c r="I12" s="123" t="s">
        <v>960</v>
      </c>
      <c r="J12" s="123" t="s">
        <v>12</v>
      </c>
      <c r="K12" s="123"/>
      <c r="L12" s="123"/>
      <c r="M12" s="123" t="s">
        <v>674</v>
      </c>
      <c r="N12" s="123" t="s">
        <v>7</v>
      </c>
      <c r="O12" s="119" t="s">
        <v>961</v>
      </c>
      <c r="P12" s="119" t="s">
        <v>961</v>
      </c>
      <c r="Q12" s="121">
        <v>0.95</v>
      </c>
      <c r="R12" s="121">
        <v>1</v>
      </c>
      <c r="S12" s="119" t="s">
        <v>961</v>
      </c>
      <c r="T12" s="85"/>
      <c r="U12" s="124"/>
    </row>
    <row r="13" spans="1:24" ht="153.75" customHeight="1" x14ac:dyDescent="0.2">
      <c r="A13" s="118" t="s">
        <v>171</v>
      </c>
      <c r="B13" s="119" t="s">
        <v>913</v>
      </c>
      <c r="C13" s="123" t="s">
        <v>962</v>
      </c>
      <c r="D13" s="123" t="s">
        <v>85</v>
      </c>
      <c r="E13" s="123">
        <v>1993</v>
      </c>
      <c r="F13" s="123">
        <v>2019</v>
      </c>
      <c r="G13" s="123" t="s">
        <v>765</v>
      </c>
      <c r="H13" s="123" t="s">
        <v>171</v>
      </c>
      <c r="I13" s="123" t="s">
        <v>963</v>
      </c>
      <c r="J13" s="123" t="s">
        <v>12</v>
      </c>
      <c r="K13" s="123" t="s">
        <v>169</v>
      </c>
      <c r="L13" s="123" t="s">
        <v>918</v>
      </c>
      <c r="M13" s="123" t="s">
        <v>674</v>
      </c>
      <c r="N13" s="123" t="s">
        <v>7</v>
      </c>
      <c r="O13" s="119" t="s">
        <v>964</v>
      </c>
      <c r="P13" s="125" t="s">
        <v>965</v>
      </c>
      <c r="Q13" s="121">
        <v>1</v>
      </c>
      <c r="R13" s="121">
        <v>1</v>
      </c>
      <c r="S13" s="119" t="s">
        <v>966</v>
      </c>
      <c r="T13" s="85"/>
      <c r="U13" s="124"/>
    </row>
    <row r="14" spans="1:24" ht="84.75" customHeight="1" x14ac:dyDescent="0.2">
      <c r="A14" s="118" t="s">
        <v>171</v>
      </c>
      <c r="B14" s="119" t="s">
        <v>913</v>
      </c>
      <c r="C14" s="123" t="s">
        <v>967</v>
      </c>
      <c r="D14" s="123"/>
      <c r="E14" s="123">
        <v>1997</v>
      </c>
      <c r="F14" s="123">
        <v>2024</v>
      </c>
      <c r="G14" s="123" t="s">
        <v>953</v>
      </c>
      <c r="H14" s="123" t="s">
        <v>773</v>
      </c>
      <c r="I14" s="123" t="s">
        <v>137</v>
      </c>
      <c r="J14" s="123" t="s">
        <v>12</v>
      </c>
      <c r="K14" s="123" t="s">
        <v>169</v>
      </c>
      <c r="L14" s="123" t="s">
        <v>918</v>
      </c>
      <c r="M14" s="123" t="s">
        <v>674</v>
      </c>
      <c r="N14" s="123" t="s">
        <v>507</v>
      </c>
      <c r="O14" s="119" t="s">
        <v>968</v>
      </c>
      <c r="P14" s="119" t="s">
        <v>969</v>
      </c>
      <c r="Q14" s="121">
        <v>0.85</v>
      </c>
      <c r="R14" s="121">
        <v>1</v>
      </c>
      <c r="S14" s="119" t="s">
        <v>968</v>
      </c>
      <c r="T14" s="85"/>
      <c r="U14" s="124"/>
    </row>
    <row r="15" spans="1:24" ht="84.75" customHeight="1" x14ac:dyDescent="0.2">
      <c r="A15" s="118" t="s">
        <v>171</v>
      </c>
      <c r="B15" s="119" t="s">
        <v>913</v>
      </c>
      <c r="C15" s="123" t="s">
        <v>970</v>
      </c>
      <c r="D15" s="123" t="s">
        <v>78</v>
      </c>
      <c r="E15" s="123">
        <v>1983</v>
      </c>
      <c r="F15" s="123">
        <v>2013</v>
      </c>
      <c r="G15" s="123" t="s">
        <v>971</v>
      </c>
      <c r="H15" s="123" t="s">
        <v>171</v>
      </c>
      <c r="I15" s="123" t="s">
        <v>972</v>
      </c>
      <c r="J15" s="123" t="s">
        <v>12</v>
      </c>
      <c r="K15" s="123"/>
      <c r="L15" s="123"/>
      <c r="M15" s="123" t="s">
        <v>15</v>
      </c>
      <c r="N15" s="123" t="s">
        <v>7</v>
      </c>
      <c r="O15" s="123" t="s">
        <v>973</v>
      </c>
      <c r="P15" s="119" t="s">
        <v>974</v>
      </c>
      <c r="Q15" s="121">
        <v>1</v>
      </c>
      <c r="R15" s="121">
        <v>1</v>
      </c>
      <c r="S15" s="119" t="s">
        <v>975</v>
      </c>
      <c r="T15" s="85"/>
      <c r="U15" s="124"/>
    </row>
    <row r="16" spans="1:24" ht="247.5" customHeight="1" x14ac:dyDescent="0.2">
      <c r="A16" s="118" t="s">
        <v>171</v>
      </c>
      <c r="B16" s="119" t="s">
        <v>913</v>
      </c>
      <c r="C16" s="123" t="s">
        <v>976</v>
      </c>
      <c r="D16" s="123" t="s">
        <v>285</v>
      </c>
      <c r="E16" s="123">
        <v>1978</v>
      </c>
      <c r="F16" s="123">
        <v>2009</v>
      </c>
      <c r="G16" s="119" t="s">
        <v>977</v>
      </c>
      <c r="H16" s="123" t="s">
        <v>171</v>
      </c>
      <c r="I16" s="123" t="s">
        <v>978</v>
      </c>
      <c r="J16" s="123" t="s">
        <v>12</v>
      </c>
      <c r="K16" s="123"/>
      <c r="L16" s="123"/>
      <c r="M16" s="123" t="s">
        <v>674</v>
      </c>
      <c r="N16" s="123" t="s">
        <v>507</v>
      </c>
      <c r="O16" s="119" t="s">
        <v>979</v>
      </c>
      <c r="P16" s="119" t="s">
        <v>980</v>
      </c>
      <c r="Q16" s="121">
        <v>1</v>
      </c>
      <c r="R16" s="121">
        <v>1</v>
      </c>
      <c r="S16" s="119" t="s">
        <v>981</v>
      </c>
      <c r="T16" s="85"/>
      <c r="U16" s="124"/>
    </row>
    <row r="17" spans="1:21" ht="84.75" customHeight="1" x14ac:dyDescent="0.2">
      <c r="A17" s="118" t="s">
        <v>171</v>
      </c>
      <c r="B17" s="119" t="s">
        <v>913</v>
      </c>
      <c r="C17" s="123" t="s">
        <v>982</v>
      </c>
      <c r="D17" s="123" t="s">
        <v>81</v>
      </c>
      <c r="E17" s="123">
        <v>1975</v>
      </c>
      <c r="F17" s="123">
        <v>1997</v>
      </c>
      <c r="G17" s="123" t="s">
        <v>983</v>
      </c>
      <c r="H17" s="126" t="s">
        <v>984</v>
      </c>
      <c r="I17" s="123" t="s">
        <v>985</v>
      </c>
      <c r="J17" s="123" t="s">
        <v>12</v>
      </c>
      <c r="K17" s="123"/>
      <c r="L17" s="123"/>
      <c r="M17" s="123" t="s">
        <v>954</v>
      </c>
      <c r="N17" s="123" t="s">
        <v>7</v>
      </c>
      <c r="O17" s="119" t="s">
        <v>986</v>
      </c>
      <c r="P17" s="119" t="s">
        <v>987</v>
      </c>
      <c r="Q17" s="121">
        <v>1</v>
      </c>
      <c r="R17" s="121">
        <v>1</v>
      </c>
      <c r="S17" s="83"/>
      <c r="T17" s="85"/>
      <c r="U17" s="124"/>
    </row>
    <row r="18" spans="1:21" ht="84.75" customHeight="1" x14ac:dyDescent="0.2">
      <c r="A18" s="118" t="s">
        <v>171</v>
      </c>
      <c r="B18" s="119" t="s">
        <v>913</v>
      </c>
      <c r="C18" s="123" t="s">
        <v>988</v>
      </c>
      <c r="D18" s="123" t="s">
        <v>989</v>
      </c>
      <c r="E18" s="123">
        <v>1992</v>
      </c>
      <c r="F18" s="123">
        <v>2023</v>
      </c>
      <c r="G18" s="119" t="s">
        <v>990</v>
      </c>
      <c r="H18" s="123" t="s">
        <v>171</v>
      </c>
      <c r="I18" s="123" t="s">
        <v>991</v>
      </c>
      <c r="J18" s="123" t="s">
        <v>12</v>
      </c>
      <c r="K18" s="123"/>
      <c r="L18" s="123"/>
      <c r="M18" s="123" t="s">
        <v>674</v>
      </c>
      <c r="N18" s="123" t="s">
        <v>7</v>
      </c>
      <c r="O18" s="119" t="s">
        <v>992</v>
      </c>
      <c r="P18" s="119" t="s">
        <v>992</v>
      </c>
      <c r="Q18" s="121">
        <v>0.9</v>
      </c>
      <c r="R18" s="121">
        <v>1</v>
      </c>
      <c r="S18" s="83"/>
      <c r="T18" s="85"/>
      <c r="U18" s="124"/>
    </row>
    <row r="19" spans="1:21" ht="84.75" customHeight="1" x14ac:dyDescent="0.2">
      <c r="A19" s="118" t="s">
        <v>171</v>
      </c>
      <c r="B19" s="119" t="s">
        <v>913</v>
      </c>
      <c r="C19" s="123" t="s">
        <v>993</v>
      </c>
      <c r="D19" s="123" t="s">
        <v>74</v>
      </c>
      <c r="E19" s="123">
        <v>1985</v>
      </c>
      <c r="F19" s="123">
        <v>2008</v>
      </c>
      <c r="G19" s="123" t="s">
        <v>994</v>
      </c>
      <c r="H19" s="123" t="s">
        <v>171</v>
      </c>
      <c r="I19" s="123" t="s">
        <v>803</v>
      </c>
      <c r="J19" s="123" t="s">
        <v>410</v>
      </c>
      <c r="K19" s="123"/>
      <c r="L19" s="123"/>
      <c r="M19" s="123" t="s">
        <v>674</v>
      </c>
      <c r="N19" s="123" t="s">
        <v>7</v>
      </c>
      <c r="O19" s="119" t="s">
        <v>995</v>
      </c>
      <c r="P19" s="119" t="s">
        <v>996</v>
      </c>
      <c r="Q19" s="121">
        <v>1</v>
      </c>
      <c r="R19" s="121">
        <v>1</v>
      </c>
      <c r="S19" s="83"/>
      <c r="T19" s="85"/>
      <c r="U19" s="124"/>
    </row>
    <row r="20" spans="1:21" ht="84.75" customHeight="1" x14ac:dyDescent="0.2">
      <c r="A20" s="118" t="s">
        <v>171</v>
      </c>
      <c r="B20" s="119" t="s">
        <v>913</v>
      </c>
      <c r="C20" s="119" t="s">
        <v>997</v>
      </c>
      <c r="D20" s="123" t="s">
        <v>369</v>
      </c>
      <c r="E20" s="123">
        <v>1987</v>
      </c>
      <c r="F20" s="123">
        <v>2009</v>
      </c>
      <c r="G20" s="123" t="s">
        <v>971</v>
      </c>
      <c r="H20" s="123" t="s">
        <v>171</v>
      </c>
      <c r="I20" s="123" t="s">
        <v>300</v>
      </c>
      <c r="J20" s="123" t="s">
        <v>410</v>
      </c>
      <c r="K20" s="123" t="s">
        <v>169</v>
      </c>
      <c r="L20" s="123" t="s">
        <v>918</v>
      </c>
      <c r="M20" s="123" t="s">
        <v>15</v>
      </c>
      <c r="N20" s="123" t="s">
        <v>7</v>
      </c>
      <c r="O20" s="123"/>
      <c r="P20" s="123"/>
      <c r="Q20" s="121">
        <v>1</v>
      </c>
      <c r="R20" s="121">
        <v>1</v>
      </c>
      <c r="S20" s="83"/>
      <c r="T20" s="85"/>
      <c r="U20" s="124"/>
    </row>
    <row r="21" spans="1:21" ht="84.75" customHeight="1" x14ac:dyDescent="0.2">
      <c r="A21" s="118" t="s">
        <v>171</v>
      </c>
      <c r="B21" s="119" t="s">
        <v>913</v>
      </c>
      <c r="C21" s="123" t="s">
        <v>998</v>
      </c>
      <c r="D21" s="123" t="s">
        <v>928</v>
      </c>
      <c r="E21" s="123">
        <v>1976</v>
      </c>
      <c r="F21" s="123">
        <v>2000</v>
      </c>
      <c r="G21" s="123" t="s">
        <v>999</v>
      </c>
      <c r="H21" s="123" t="s">
        <v>171</v>
      </c>
      <c r="I21" s="123" t="s">
        <v>803</v>
      </c>
      <c r="J21" s="123" t="s">
        <v>12</v>
      </c>
      <c r="K21" s="123"/>
      <c r="L21" s="123"/>
      <c r="M21" s="123" t="s">
        <v>674</v>
      </c>
      <c r="N21" s="123" t="s">
        <v>7</v>
      </c>
      <c r="O21" s="119" t="s">
        <v>1000</v>
      </c>
      <c r="P21" s="123"/>
      <c r="Q21" s="121">
        <v>0.9</v>
      </c>
      <c r="R21" s="121">
        <v>1</v>
      </c>
      <c r="S21" s="83"/>
      <c r="T21" s="85"/>
      <c r="U21" s="124"/>
    </row>
    <row r="22" spans="1:21" ht="111.75" customHeight="1" x14ac:dyDescent="0.2">
      <c r="A22" s="118" t="s">
        <v>171</v>
      </c>
      <c r="B22" s="119" t="s">
        <v>913</v>
      </c>
      <c r="C22" s="119" t="s">
        <v>1001</v>
      </c>
      <c r="D22" s="123" t="s">
        <v>1002</v>
      </c>
      <c r="E22" s="123">
        <v>1986</v>
      </c>
      <c r="F22" s="123">
        <v>2013</v>
      </c>
      <c r="G22" s="123" t="s">
        <v>1003</v>
      </c>
      <c r="H22" s="123" t="s">
        <v>171</v>
      </c>
      <c r="I22" s="123" t="s">
        <v>803</v>
      </c>
      <c r="J22" s="123" t="s">
        <v>12</v>
      </c>
      <c r="K22" s="123"/>
      <c r="L22" s="123"/>
      <c r="M22" s="123" t="s">
        <v>674</v>
      </c>
      <c r="N22" s="123" t="s">
        <v>507</v>
      </c>
      <c r="O22" s="123" t="s">
        <v>1004</v>
      </c>
      <c r="P22" s="119" t="s">
        <v>1005</v>
      </c>
      <c r="Q22" s="121">
        <v>0.9</v>
      </c>
      <c r="R22" s="121">
        <v>1</v>
      </c>
      <c r="S22" s="83"/>
      <c r="T22" s="85"/>
      <c r="U22" s="124"/>
    </row>
    <row r="23" spans="1:21" ht="94.5" customHeight="1" x14ac:dyDescent="0.2">
      <c r="A23" s="118" t="s">
        <v>171</v>
      </c>
      <c r="B23" s="119" t="s">
        <v>913</v>
      </c>
      <c r="C23" s="119" t="s">
        <v>1006</v>
      </c>
      <c r="D23" s="123" t="s">
        <v>1007</v>
      </c>
      <c r="E23" s="123">
        <v>1983</v>
      </c>
      <c r="F23" s="123">
        <v>2008</v>
      </c>
      <c r="G23" s="119" t="s">
        <v>1008</v>
      </c>
      <c r="H23" s="123" t="s">
        <v>171</v>
      </c>
      <c r="I23" s="123" t="s">
        <v>372</v>
      </c>
      <c r="J23" s="123" t="s">
        <v>12</v>
      </c>
      <c r="K23" s="123" t="s">
        <v>1009</v>
      </c>
      <c r="L23" s="123" t="s">
        <v>918</v>
      </c>
      <c r="M23" s="123" t="s">
        <v>674</v>
      </c>
      <c r="N23" s="123" t="s">
        <v>7</v>
      </c>
      <c r="O23" s="119" t="s">
        <v>1010</v>
      </c>
      <c r="P23" s="119" t="s">
        <v>1011</v>
      </c>
      <c r="Q23" s="121">
        <v>1</v>
      </c>
      <c r="R23" s="121">
        <v>1</v>
      </c>
      <c r="S23" s="83"/>
      <c r="T23" s="85"/>
      <c r="U23" s="124"/>
    </row>
    <row r="24" spans="1:21" ht="84.75" customHeight="1" x14ac:dyDescent="0.2">
      <c r="A24" s="118" t="s">
        <v>171</v>
      </c>
      <c r="B24" s="119" t="s">
        <v>913</v>
      </c>
      <c r="C24" s="123" t="s">
        <v>1012</v>
      </c>
      <c r="D24" s="123" t="s">
        <v>1013</v>
      </c>
      <c r="E24" s="123">
        <v>1971</v>
      </c>
      <c r="F24" s="123">
        <v>1994</v>
      </c>
      <c r="G24" s="123" t="s">
        <v>1014</v>
      </c>
      <c r="H24" s="123" t="s">
        <v>171</v>
      </c>
      <c r="I24" s="123" t="s">
        <v>803</v>
      </c>
      <c r="J24" s="123" t="s">
        <v>12</v>
      </c>
      <c r="K24" s="123" t="s">
        <v>169</v>
      </c>
      <c r="L24" s="123" t="s">
        <v>918</v>
      </c>
      <c r="M24" s="123" t="s">
        <v>674</v>
      </c>
      <c r="N24" s="123" t="s">
        <v>507</v>
      </c>
      <c r="O24" s="123" t="s">
        <v>1015</v>
      </c>
      <c r="P24" s="119" t="s">
        <v>1016</v>
      </c>
      <c r="Q24" s="121">
        <v>1</v>
      </c>
      <c r="R24" s="121">
        <v>1</v>
      </c>
      <c r="S24" s="83"/>
      <c r="T24" s="85"/>
      <c r="U24" s="124"/>
    </row>
    <row r="25" spans="1:21" ht="84.75" customHeight="1" x14ac:dyDescent="0.2">
      <c r="A25" s="118" t="s">
        <v>171</v>
      </c>
      <c r="B25" s="119" t="s">
        <v>913</v>
      </c>
      <c r="C25" s="123" t="s">
        <v>1017</v>
      </c>
      <c r="D25" s="123" t="s">
        <v>1018</v>
      </c>
      <c r="E25" s="123">
        <v>1983</v>
      </c>
      <c r="F25" s="123">
        <v>2017</v>
      </c>
      <c r="G25" s="123" t="s">
        <v>1019</v>
      </c>
      <c r="H25" s="123" t="s">
        <v>171</v>
      </c>
      <c r="I25" s="123" t="s">
        <v>319</v>
      </c>
      <c r="J25" s="123" t="s">
        <v>12</v>
      </c>
      <c r="K25" s="123" t="s">
        <v>1009</v>
      </c>
      <c r="L25" s="123" t="s">
        <v>918</v>
      </c>
      <c r="M25" s="123" t="s">
        <v>221</v>
      </c>
      <c r="N25" s="123" t="s">
        <v>158</v>
      </c>
      <c r="O25" s="123" t="s">
        <v>1020</v>
      </c>
      <c r="P25" s="119"/>
      <c r="Q25" s="121"/>
      <c r="R25" s="121"/>
      <c r="S25" s="83"/>
      <c r="T25" s="85"/>
      <c r="U25" s="124"/>
    </row>
    <row r="26" spans="1:21" ht="84.75" customHeight="1" x14ac:dyDescent="0.2">
      <c r="A26" s="118" t="s">
        <v>171</v>
      </c>
      <c r="B26" s="119" t="s">
        <v>913</v>
      </c>
      <c r="C26" s="119" t="s">
        <v>1021</v>
      </c>
      <c r="D26" s="123" t="s">
        <v>1022</v>
      </c>
      <c r="E26" s="123">
        <v>1970</v>
      </c>
      <c r="F26" s="123">
        <v>1995</v>
      </c>
      <c r="G26" s="123" t="s">
        <v>1023</v>
      </c>
      <c r="H26" s="123" t="s">
        <v>171</v>
      </c>
      <c r="I26" s="123" t="s">
        <v>803</v>
      </c>
      <c r="J26" s="123" t="s">
        <v>12</v>
      </c>
      <c r="K26" s="123" t="s">
        <v>169</v>
      </c>
      <c r="L26" s="123" t="s">
        <v>918</v>
      </c>
      <c r="M26" s="123" t="s">
        <v>674</v>
      </c>
      <c r="N26" s="123" t="s">
        <v>7</v>
      </c>
      <c r="O26" s="119" t="s">
        <v>1024</v>
      </c>
      <c r="P26" s="119" t="s">
        <v>1025</v>
      </c>
      <c r="Q26" s="121">
        <v>1</v>
      </c>
      <c r="R26" s="121">
        <v>1</v>
      </c>
      <c r="S26" s="124"/>
      <c r="T26" s="124"/>
      <c r="U26" s="124"/>
    </row>
  </sheetData>
  <mergeCells count="1">
    <mergeCell ref="A1:P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zoomScale="80" zoomScaleNormal="80" workbookViewId="0">
      <selection activeCell="H13" sqref="H13"/>
    </sheetView>
  </sheetViews>
  <sheetFormatPr defaultColWidth="8.75" defaultRowHeight="14.25" x14ac:dyDescent="0.2"/>
  <cols>
    <col min="1" max="1" width="9.125" style="48" customWidth="1"/>
    <col min="2" max="2" width="15.625" style="48" customWidth="1"/>
    <col min="3" max="3" width="12.125" style="46" bestFit="1" customWidth="1"/>
    <col min="4" max="4" width="7.5" style="46" customWidth="1"/>
    <col min="5" max="5" width="14.625" style="46" customWidth="1"/>
    <col min="6" max="6" width="11.125" style="49" bestFit="1" customWidth="1"/>
    <col min="7" max="7" width="14.5" style="46" customWidth="1"/>
    <col min="8" max="8" width="6.75" style="46" bestFit="1" customWidth="1"/>
    <col min="9" max="9" width="12.375" style="46" customWidth="1"/>
    <col min="10" max="10" width="11.75" style="46" customWidth="1"/>
    <col min="11" max="11" width="14.625" style="46" customWidth="1"/>
    <col min="12" max="12" width="20.25" style="46" customWidth="1"/>
    <col min="13" max="13" width="12" style="46" customWidth="1"/>
    <col min="14" max="14" width="10.75" style="46" customWidth="1"/>
    <col min="15" max="15" width="27.125" style="46" customWidth="1"/>
    <col min="16" max="16" width="95.25" style="50" bestFit="1" customWidth="1"/>
    <col min="17" max="17" width="30.625" style="46" customWidth="1"/>
    <col min="18" max="18" width="19.25" style="46" customWidth="1"/>
    <col min="19" max="20" width="17.875" style="46" customWidth="1"/>
    <col min="21" max="21" width="13.75" style="46" customWidth="1"/>
    <col min="22" max="16384" width="8.75" style="46"/>
  </cols>
  <sheetData>
    <row r="1" spans="1:21" s="43" customFormat="1" ht="54.6" customHeight="1" x14ac:dyDescent="0.2">
      <c r="A1" s="157" t="s">
        <v>170</v>
      </c>
      <c r="B1" s="158"/>
      <c r="C1" s="158"/>
      <c r="D1" s="158"/>
      <c r="E1" s="158"/>
      <c r="F1" s="158"/>
      <c r="G1" s="158"/>
      <c r="H1" s="158"/>
      <c r="I1" s="158"/>
      <c r="J1" s="158"/>
      <c r="K1" s="159"/>
      <c r="L1" s="5"/>
      <c r="M1" s="5"/>
      <c r="N1" s="5"/>
      <c r="O1" s="5"/>
      <c r="P1" s="6"/>
      <c r="Q1" s="5"/>
      <c r="R1" s="5"/>
      <c r="S1" s="5"/>
      <c r="T1" s="5"/>
      <c r="U1" s="5"/>
    </row>
    <row r="2" spans="1:21" s="44" customFormat="1" ht="76.150000000000006" customHeight="1" x14ac:dyDescent="0.2">
      <c r="A2" s="3" t="s">
        <v>0</v>
      </c>
      <c r="B2" s="3" t="s">
        <v>1</v>
      </c>
      <c r="C2" s="2" t="s">
        <v>2</v>
      </c>
      <c r="D2" s="2" t="s">
        <v>8</v>
      </c>
      <c r="E2" s="2" t="s">
        <v>9</v>
      </c>
      <c r="F2" s="4" t="s">
        <v>18</v>
      </c>
      <c r="G2" s="2" t="s">
        <v>3</v>
      </c>
      <c r="H2" s="2" t="s">
        <v>10</v>
      </c>
      <c r="I2" s="2" t="s">
        <v>23</v>
      </c>
      <c r="J2" s="2" t="s">
        <v>13</v>
      </c>
      <c r="K2" s="2" t="s">
        <v>4</v>
      </c>
      <c r="L2" s="2" t="s">
        <v>14</v>
      </c>
      <c r="M2" s="2" t="s">
        <v>5</v>
      </c>
      <c r="N2" s="2" t="s">
        <v>7</v>
      </c>
      <c r="O2" s="2" t="s">
        <v>6</v>
      </c>
      <c r="P2" s="1" t="s">
        <v>21</v>
      </c>
      <c r="Q2" s="2" t="s">
        <v>16</v>
      </c>
      <c r="R2" s="2" t="s">
        <v>17</v>
      </c>
      <c r="S2" s="2" t="s">
        <v>19</v>
      </c>
      <c r="T2" s="2" t="s">
        <v>20</v>
      </c>
      <c r="U2" s="2" t="s">
        <v>22</v>
      </c>
    </row>
    <row r="3" spans="1:21" ht="28.5" x14ac:dyDescent="0.2">
      <c r="A3" s="48" t="s">
        <v>1038</v>
      </c>
      <c r="B3" s="48" t="s">
        <v>1026</v>
      </c>
      <c r="C3" s="46" t="s">
        <v>1027</v>
      </c>
      <c r="D3" s="46" t="s">
        <v>1028</v>
      </c>
      <c r="E3" s="128">
        <v>1967</v>
      </c>
      <c r="F3" s="129" t="s">
        <v>1040</v>
      </c>
      <c r="G3" s="46" t="s">
        <v>1029</v>
      </c>
      <c r="H3" s="128"/>
      <c r="I3" s="46" t="s">
        <v>143</v>
      </c>
      <c r="J3" s="46" t="s">
        <v>601</v>
      </c>
      <c r="K3" s="46" t="s">
        <v>1009</v>
      </c>
      <c r="L3" s="46" t="s">
        <v>1035</v>
      </c>
      <c r="M3" s="46" t="s">
        <v>15</v>
      </c>
      <c r="N3" s="46" t="s">
        <v>7</v>
      </c>
      <c r="O3" s="46" t="s">
        <v>188</v>
      </c>
      <c r="P3" s="50" t="s">
        <v>167</v>
      </c>
    </row>
    <row r="4" spans="1:21" ht="28.5" x14ac:dyDescent="0.2">
      <c r="A4" s="48" t="s">
        <v>1038</v>
      </c>
      <c r="B4" s="48" t="s">
        <v>1030</v>
      </c>
      <c r="C4" s="46" t="s">
        <v>1031</v>
      </c>
      <c r="D4" s="46" t="s">
        <v>1032</v>
      </c>
      <c r="E4" s="46">
        <v>1985</v>
      </c>
      <c r="F4" s="127">
        <v>2006</v>
      </c>
      <c r="G4" s="46" t="s">
        <v>1033</v>
      </c>
      <c r="H4" s="128" t="s">
        <v>171</v>
      </c>
      <c r="I4" s="46" t="s">
        <v>1034</v>
      </c>
      <c r="J4" s="46" t="s">
        <v>410</v>
      </c>
      <c r="M4" s="46" t="s">
        <v>1036</v>
      </c>
      <c r="N4" s="46" t="s">
        <v>7</v>
      </c>
      <c r="O4" s="46" t="s">
        <v>1039</v>
      </c>
      <c r="P4" s="50" t="s">
        <v>1037</v>
      </c>
    </row>
  </sheetData>
  <mergeCells count="1">
    <mergeCell ref="A1:K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10</vt:i4>
      </vt:variant>
      <vt:variant>
        <vt:lpstr>نطاقات تمت تسميتها</vt:lpstr>
      </vt:variant>
      <vt:variant>
        <vt:i4>1</vt:i4>
      </vt:variant>
    </vt:vector>
  </HeadingPairs>
  <TitlesOfParts>
    <vt:vector size="11" baseType="lpstr">
      <vt:lpstr>القسم الهندسي</vt:lpstr>
      <vt:lpstr>مشفى الهلال</vt:lpstr>
      <vt:lpstr>مشفى الكلية</vt:lpstr>
      <vt:lpstr>مشفى العيون </vt:lpstr>
      <vt:lpstr>مشفى دمشق</vt:lpstr>
      <vt:lpstr>مشفى الجلدية</vt:lpstr>
      <vt:lpstr>ابن النفيس </vt:lpstr>
      <vt:lpstr>مشفى الزهراوي</vt:lpstr>
      <vt:lpstr>مراكز </vt:lpstr>
      <vt:lpstr>ورقة1</vt:lpstr>
      <vt:lpstr>'القسم الهندسي'!OLE_LINK1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Shammout</dc:creator>
  <cp:lastModifiedBy>Dell</cp:lastModifiedBy>
  <cp:lastPrinted>2026-05-06T07:21:22Z</cp:lastPrinted>
  <dcterms:created xsi:type="dcterms:W3CDTF">2026-05-02T10:57:57Z</dcterms:created>
  <dcterms:modified xsi:type="dcterms:W3CDTF">2026-06-03T10:21:45Z</dcterms:modified>
</cp:coreProperties>
</file>